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70" yWindow="525" windowWidth="28215" windowHeight="11700"/>
  </bookViews>
  <sheets>
    <sheet name="Catálogo por series" sheetId="1" r:id="rId1"/>
  </sheets>
  <definedNames>
    <definedName name="_xlnm._FilterDatabase" localSheetId="0" hidden="1">'Catálogo por series'!$A$1:$H$121</definedName>
  </definedNames>
  <calcPr calcId="125725"/>
</workbook>
</file>

<file path=xl/calcChain.xml><?xml version="1.0" encoding="utf-8"?>
<calcChain xmlns="http://schemas.openxmlformats.org/spreadsheetml/2006/main">
  <c r="J17" i="1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21"/>
  <c r="J7"/>
  <c r="J3"/>
  <c r="J4"/>
  <c r="J5"/>
  <c r="J6"/>
  <c r="J8"/>
  <c r="J9"/>
  <c r="J10"/>
  <c r="J11"/>
  <c r="J12"/>
  <c r="J13"/>
  <c r="J14"/>
  <c r="J16"/>
  <c r="J2"/>
</calcChain>
</file>

<file path=xl/sharedStrings.xml><?xml version="1.0" encoding="utf-8"?>
<sst xmlns="http://schemas.openxmlformats.org/spreadsheetml/2006/main" count="812" uniqueCount="246">
  <si>
    <t>FAMILIA</t>
  </si>
  <si>
    <t>SERIE</t>
  </si>
  <si>
    <t>FORMATO (cm)</t>
  </si>
  <si>
    <t>ACABADO</t>
  </si>
  <si>
    <t>DETALLE ACABADO (catálogo)</t>
  </si>
  <si>
    <t>COLECCIÓN</t>
  </si>
  <si>
    <t>PÁG.</t>
  </si>
  <si>
    <t>NOTAS</t>
  </si>
  <si>
    <t>Porcelánico</t>
  </si>
  <si>
    <t>Alpina</t>
  </si>
  <si>
    <t>23x120</t>
  </si>
  <si>
    <t>Mate</t>
  </si>
  <si>
    <t>Pavimento / Revestimiento relieve mate</t>
  </si>
  <si>
    <t>Maderas</t>
  </si>
  <si>
    <t>Colores nieve, haya, teka, ceniza</t>
  </si>
  <si>
    <t>Ardesia C3</t>
  </si>
  <si>
    <t>30x60</t>
  </si>
  <si>
    <t>Revestimiento / Pavimento relieve mate</t>
  </si>
  <si>
    <t>Colores blanco, natural, gris; versión mosaico en cada color</t>
  </si>
  <si>
    <t>Atlas</t>
  </si>
  <si>
    <t>22,5x90</t>
  </si>
  <si>
    <t>Disponible en C3</t>
  </si>
  <si>
    <t>Bali</t>
  </si>
  <si>
    <t>No especificado</t>
  </si>
  <si>
    <t>Revestimiento / Pavimento (C3)</t>
  </si>
  <si>
    <t>Bigas</t>
  </si>
  <si>
    <t>Efecto madera; colores blanco, gris, miel, roble</t>
  </si>
  <si>
    <t>Bosco</t>
  </si>
  <si>
    <t>33,3x33,3</t>
  </si>
  <si>
    <t>Pavimento relieve mate antideslizante</t>
  </si>
  <si>
    <t>Grosor 9 mm; colores beige, caldera, gris</t>
  </si>
  <si>
    <t>Brando</t>
  </si>
  <si>
    <t>60x60</t>
  </si>
  <si>
    <t>Pavimento mate</t>
  </si>
  <si>
    <t>Colores blanc, clair, ombre, foncé; pavimento coordinado de varias series de revestimiento</t>
  </si>
  <si>
    <t>Calacata</t>
  </si>
  <si>
    <t>60x120</t>
  </si>
  <si>
    <t>Brillo y Mate</t>
  </si>
  <si>
    <t>Revestimiento / Pavimento rectificado</t>
  </si>
  <si>
    <t>Disponible en brillo y mate</t>
  </si>
  <si>
    <t>Calacatta</t>
  </si>
  <si>
    <t>Brillo</t>
  </si>
  <si>
    <t>Revestimiento / Pavimento rectificado pulido</t>
  </si>
  <si>
    <t>Calacatta Gold</t>
  </si>
  <si>
    <t>100x100</t>
  </si>
  <si>
    <t>Caliza Brillo</t>
  </si>
  <si>
    <t>Pavimento porcelánico</t>
  </si>
  <si>
    <t>Existe versión rectificada; cabecera menciona además 45x45 en gres</t>
  </si>
  <si>
    <t>Canyon</t>
  </si>
  <si>
    <t>Pavimento rectificado espesorado 20 mm</t>
  </si>
  <si>
    <t>Espesorado</t>
  </si>
  <si>
    <t>Colores chert, basalt</t>
  </si>
  <si>
    <t>Carlotta Silver</t>
  </si>
  <si>
    <t>Carrara</t>
  </si>
  <si>
    <t>Crema Marfil</t>
  </si>
  <si>
    <t>Pavimento rectificado</t>
  </si>
  <si>
    <t>Curia C3</t>
  </si>
  <si>
    <t>Antideslizante R11; efecto deck acanalado</t>
  </si>
  <si>
    <t>Elvis</t>
  </si>
  <si>
    <t>Pavimento rectificado pulido</t>
  </si>
  <si>
    <t>Rodapié 7,3x60 bajo pedido</t>
  </si>
  <si>
    <t>Enate</t>
  </si>
  <si>
    <t>Kamen</t>
  </si>
  <si>
    <t>Pavimento mate (coordinado C1+C3)</t>
  </si>
  <si>
    <t>Revestimiento</t>
  </si>
  <si>
    <t>Disponible en todos los colores</t>
  </si>
  <si>
    <t>Kaster</t>
  </si>
  <si>
    <t>Revestimiento / Pavimento</t>
  </si>
  <si>
    <t>Colores gris, arena, sendra, cacao, grafito</t>
  </si>
  <si>
    <t>Keyburn C3</t>
  </si>
  <si>
    <t>Pavimento relieve rectificado / Revestimiento mate</t>
  </si>
  <si>
    <t>R11, rectificado; colores white, grey, black</t>
  </si>
  <si>
    <t>Kite</t>
  </si>
  <si>
    <t>Pavimento mate (porcelánico coordinado)</t>
  </si>
  <si>
    <t>Koral</t>
  </si>
  <si>
    <t>Pavimento brillo (porcelánico coordinado)</t>
  </si>
  <si>
    <t>75x75</t>
  </si>
  <si>
    <t>Pavimento brillo (porcelánico rectificado coordinado)</t>
  </si>
  <si>
    <t>Land Kaster C3</t>
  </si>
  <si>
    <t>Revestimiento / Pavimento (rectificado)</t>
  </si>
  <si>
    <t>60x120 solo colores Sand y Grey</t>
  </si>
  <si>
    <t>Colores white, grey, coal, sand</t>
  </si>
  <si>
    <t>Legend</t>
  </si>
  <si>
    <t>20x120</t>
  </si>
  <si>
    <t>Pavimento / Revestimiento relieve rectificado mate</t>
  </si>
  <si>
    <t>Colores gris, marfil, cuero</t>
  </si>
  <si>
    <t>Magnum</t>
  </si>
  <si>
    <t>90x90</t>
  </si>
  <si>
    <t>Colores white, bone, ceniza, plomo</t>
  </si>
  <si>
    <t>Mogan</t>
  </si>
  <si>
    <t>Napoli</t>
  </si>
  <si>
    <t>Pietra</t>
  </si>
  <si>
    <t>Pavimento porcelánico espesorado 20 mm (rectificado)</t>
  </si>
  <si>
    <t>80x80</t>
  </si>
  <si>
    <t>Colores sand, gray, marengo</t>
  </si>
  <si>
    <t>Pobla C3</t>
  </si>
  <si>
    <t>Pavimento relieve mate antideslizante destonificado</t>
  </si>
  <si>
    <t>Grosor 9 mm; colores cotto, paja, iron</t>
  </si>
  <si>
    <t>Polaris</t>
  </si>
  <si>
    <t>Pavimento mate (rectificado)</t>
  </si>
  <si>
    <t>Relieve Rlv. Polaris 60x120; listelos metal oro/plata 1x60</t>
  </si>
  <si>
    <t>Provence C3</t>
  </si>
  <si>
    <t>Revestimiento mate / Pavimento relieve mate</t>
  </si>
  <si>
    <t>Antideslizante R11; mosaico 30x30</t>
  </si>
  <si>
    <t>Ritz</t>
  </si>
  <si>
    <t>Pavimento brillo</t>
  </si>
  <si>
    <t>Colores blanco y gris</t>
  </si>
  <si>
    <t>Samario</t>
  </si>
  <si>
    <t>Sanit Dark</t>
  </si>
  <si>
    <t>Stahl C3</t>
  </si>
  <si>
    <t>Grosor 9 mm; colores caldera, gris</t>
  </si>
  <si>
    <t>Tablero</t>
  </si>
  <si>
    <t>Colores white, grey, basein, oak</t>
  </si>
  <si>
    <t>Tea</t>
  </si>
  <si>
    <t>Colores gris, tilo, roble</t>
  </si>
  <si>
    <t>Technikal C2</t>
  </si>
  <si>
    <t>Artículo para proyectos, pedido mínimo; blanco, perla, negro</t>
  </si>
  <si>
    <t>Terry</t>
  </si>
  <si>
    <t>Colores bianco, miele, natural, taupe</t>
  </si>
  <si>
    <t>Tokyo</t>
  </si>
  <si>
    <t>Colores beige, silver, gray</t>
  </si>
  <si>
    <t>Toledo</t>
  </si>
  <si>
    <t>Colores perla y gris</t>
  </si>
  <si>
    <t>Torcal</t>
  </si>
  <si>
    <t>Tosca</t>
  </si>
  <si>
    <t>Revestimiento mate</t>
  </si>
  <si>
    <t>Colores grey, dark, beige, warm</t>
  </si>
  <si>
    <t>Travertino</t>
  </si>
  <si>
    <t>Comparte página con Caliza Brillo</t>
  </si>
  <si>
    <t>Urbión</t>
  </si>
  <si>
    <t>Pavimento Gres Pasta Roja</t>
  </si>
  <si>
    <t>Alhambra</t>
  </si>
  <si>
    <t>45x45</t>
  </si>
  <si>
    <t>Gres</t>
  </si>
  <si>
    <t>Color grey</t>
  </si>
  <si>
    <t>Atrio</t>
  </si>
  <si>
    <t>Color crema</t>
  </si>
  <si>
    <t>Colores blanco, gold, negro</t>
  </si>
  <si>
    <t>Cotto Provenzal</t>
  </si>
  <si>
    <t>Pavimento mate antideslizante destonificado (espesorado)</t>
  </si>
  <si>
    <t>Comparte página con Silos C3; modelos Massai, Maestre, Ávila</t>
  </si>
  <si>
    <t>Dahino</t>
  </si>
  <si>
    <t>Color crema brillo</t>
  </si>
  <si>
    <t>Forest</t>
  </si>
  <si>
    <t>19x57</t>
  </si>
  <si>
    <t>Pavimento relieve mate</t>
  </si>
  <si>
    <t>Colores arena, blanco, roble, gris, nogal</t>
  </si>
  <si>
    <t>Foresta</t>
  </si>
  <si>
    <t>20x60</t>
  </si>
  <si>
    <t>Pavimento / Revestimiento destonificado mate</t>
  </si>
  <si>
    <t>Gres pasta roja efecto madera</t>
  </si>
  <si>
    <t>Fusta</t>
  </si>
  <si>
    <t>Colores haya, blanco, roble, gris, smoke</t>
  </si>
  <si>
    <t>Garden</t>
  </si>
  <si>
    <t>Pavimento mate antideslizante</t>
  </si>
  <si>
    <t>Hidráulicos</t>
  </si>
  <si>
    <t>Grosor 9 mm; modelos Sidi, Salou, Vigo, Beige</t>
  </si>
  <si>
    <t>Inca</t>
  </si>
  <si>
    <t>Grosor 9 mm; colores miel, cuero, gris</t>
  </si>
  <si>
    <t>Keops</t>
  </si>
  <si>
    <t>Colores perla, marfil; coordinado con Keops 25x80 revestimiento</t>
  </si>
  <si>
    <t>Memory C3</t>
  </si>
  <si>
    <t>Colores gris, beige</t>
  </si>
  <si>
    <t>Mijas</t>
  </si>
  <si>
    <t>Mulhacén</t>
  </si>
  <si>
    <t>Colores arena, beige, gris</t>
  </si>
  <si>
    <t>One</t>
  </si>
  <si>
    <t>Color white</t>
  </si>
  <si>
    <t>Pinada</t>
  </si>
  <si>
    <t>Pavimento destonificado relieve mate</t>
  </si>
  <si>
    <t>Pizarra</t>
  </si>
  <si>
    <t>Grosor 12 mm; peldaño disponible; colores cantera, azabache, gris, óxido</t>
  </si>
  <si>
    <t>Rock</t>
  </si>
  <si>
    <t>Colores beige, grafito</t>
  </si>
  <si>
    <t>Ronda</t>
  </si>
  <si>
    <t>Color black (hidráulico)</t>
  </si>
  <si>
    <t>Silos C3</t>
  </si>
  <si>
    <t>Grosor 12 mm; colores bronce, cuero, acero; peldaño disponible</t>
  </si>
  <si>
    <t>Siracusa</t>
  </si>
  <si>
    <t>Color beige</t>
  </si>
  <si>
    <t>Star</t>
  </si>
  <si>
    <t>Colores blue, black, grey (hidráulico)</t>
  </si>
  <si>
    <t>Revestimiento Pasta Roja</t>
  </si>
  <si>
    <t>Blancos</t>
  </si>
  <si>
    <t>10x10</t>
  </si>
  <si>
    <t>Revestimiento brillo - mate</t>
  </si>
  <si>
    <t>10x20</t>
  </si>
  <si>
    <t>15x15</t>
  </si>
  <si>
    <t>20x20</t>
  </si>
  <si>
    <t>20x50</t>
  </si>
  <si>
    <t>25x40</t>
  </si>
  <si>
    <t>25x50</t>
  </si>
  <si>
    <t>25x80</t>
  </si>
  <si>
    <t>Brick</t>
  </si>
  <si>
    <t>Revestimiento relieve mate</t>
  </si>
  <si>
    <t>Comparte página con Jaca</t>
  </si>
  <si>
    <t>Revestimiento brillo</t>
  </si>
  <si>
    <t>Pavimento coordinado Carrara 45x45 gres</t>
  </si>
  <si>
    <t>Concrete</t>
  </si>
  <si>
    <t>Eden</t>
  </si>
  <si>
    <t>Relieves Basic Eden white/gold; pavimento coordinado Carrara 45x45 gres</t>
  </si>
  <si>
    <t>Haina</t>
  </si>
  <si>
    <t>Incluye Decor Haina marrón y gris</t>
  </si>
  <si>
    <t>Irati</t>
  </si>
  <si>
    <t>Decor Irati marrón/gris; pavimento coordinado Brando 60x60</t>
  </si>
  <si>
    <t>Jaca</t>
  </si>
  <si>
    <t>Colores beige y gris</t>
  </si>
  <si>
    <t>Pavimento coordinado Keops 45x45 gres</t>
  </si>
  <si>
    <t>Un color (grey) + relieve</t>
  </si>
  <si>
    <t>Kronos</t>
  </si>
  <si>
    <t>Pavimento coordinado Brando 60x60</t>
  </si>
  <si>
    <t>Life</t>
  </si>
  <si>
    <t>Revestimiento relieve brillo</t>
  </si>
  <si>
    <t>Incluye Decor Life</t>
  </si>
  <si>
    <t>Masip</t>
  </si>
  <si>
    <t>Masip deco crema/gris; coordinado Brando 60x60</t>
  </si>
  <si>
    <t>Metro</t>
  </si>
  <si>
    <t>Revestimiento brillo biselado</t>
  </si>
  <si>
    <t>15 colores disponibles</t>
  </si>
  <si>
    <t>Murano</t>
  </si>
  <si>
    <t>Incluye Decor Murano</t>
  </si>
  <si>
    <t>Un color (dark grey) + relieve</t>
  </si>
  <si>
    <t>Revestimiento mate (pasta roja)</t>
  </si>
  <si>
    <t>Pieza de revestimiento coordinada de la serie</t>
  </si>
  <si>
    <t>Revestimiento brillo (pasta roja)</t>
  </si>
  <si>
    <t>Incluye relieve Rlv. Ritz blanco 30x60 y mosaico</t>
  </si>
  <si>
    <t>Revestimiento Pasta Blanca</t>
  </si>
  <si>
    <t>Revestimiento brillo - mate (rectificado)</t>
  </si>
  <si>
    <t>30x90</t>
  </si>
  <si>
    <t>También Blanco Saw y Relieve Future brillo</t>
  </si>
  <si>
    <t>40x120</t>
  </si>
  <si>
    <t>Revestimiento brillo (rectificado)</t>
  </si>
  <si>
    <t>Variante Calacatta cut (relieve estriado); coordinado Calacata 60x60</t>
  </si>
  <si>
    <t>Shiman</t>
  </si>
  <si>
    <t>Revestimiento mate (rectificado)</t>
  </si>
  <si>
    <t>Decorado Shiman pop; pavimento coordinado Brando 60x60</t>
  </si>
  <si>
    <t>Tadan</t>
  </si>
  <si>
    <t>Relieves Tadan ona; listelo metal plata 1x90; pavimento coordinado Brando 60x60</t>
  </si>
  <si>
    <t>Verdi</t>
  </si>
  <si>
    <t>Relieves Tessel white/concrete; pavimento coordinado Brando 60x60</t>
  </si>
  <si>
    <t>Wahkan</t>
  </si>
  <si>
    <t>Decorado Wahkan mosaic mix; pavimento coordinado Brando 60x60</t>
  </si>
  <si>
    <t>COSTE</t>
  </si>
  <si>
    <t>PVP</t>
  </si>
  <si>
    <t>DESCATALOGADO</t>
  </si>
  <si>
    <t>no lo se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</si>
</sst>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5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4" fillId="5" borderId="2" xfId="0" applyFont="1" applyFill="1" applyBorder="1"/>
    <xf numFmtId="0" fontId="4" fillId="0" borderId="3" xfId="0" applyFont="1" applyBorder="1"/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4" fillId="7" borderId="4" xfId="0" applyFont="1" applyFill="1" applyBorder="1"/>
    <xf numFmtId="2" fontId="0" fillId="0" borderId="0" xfId="0" applyNumberFormat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>
      <pane ySplit="1" topLeftCell="A2" activePane="bottomLeft" state="frozen"/>
      <selection pane="bottomLeft" activeCell="H124" sqref="H124"/>
    </sheetView>
  </sheetViews>
  <sheetFormatPr baseColWidth="10" defaultColWidth="9.140625" defaultRowHeight="15"/>
  <cols>
    <col min="1" max="1" width="26" customWidth="1"/>
    <col min="2" max="2" width="18" customWidth="1"/>
    <col min="3" max="3" width="13" customWidth="1"/>
    <col min="4" max="4" width="15" customWidth="1"/>
    <col min="5" max="5" width="52.7109375" customWidth="1"/>
    <col min="6" max="6" width="16.42578125" customWidth="1"/>
    <col min="7" max="7" width="9.7109375" customWidth="1"/>
    <col min="8" max="8" width="78.5703125" customWidth="1"/>
    <col min="10" max="10" width="9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242</v>
      </c>
      <c r="J1" s="1" t="s">
        <v>243</v>
      </c>
    </row>
    <row r="2" spans="1:10">
      <c r="A2" s="2" t="s">
        <v>8</v>
      </c>
      <c r="B2" s="3" t="s">
        <v>43</v>
      </c>
      <c r="C2" s="3" t="s">
        <v>44</v>
      </c>
      <c r="D2" s="3" t="s">
        <v>41</v>
      </c>
      <c r="E2" s="3" t="s">
        <v>42</v>
      </c>
      <c r="F2" s="3" t="s">
        <v>8</v>
      </c>
      <c r="G2" s="4">
        <v>16</v>
      </c>
      <c r="H2" s="3"/>
      <c r="I2">
        <v>16.45</v>
      </c>
      <c r="J2" s="16">
        <f>(I2+5)*1.25*1.21</f>
        <v>32.443125000000002</v>
      </c>
    </row>
    <row r="3" spans="1:10">
      <c r="A3" s="2" t="s">
        <v>8</v>
      </c>
      <c r="B3" s="3" t="s">
        <v>53</v>
      </c>
      <c r="C3" s="3" t="s">
        <v>44</v>
      </c>
      <c r="D3" s="3" t="s">
        <v>41</v>
      </c>
      <c r="E3" s="3" t="s">
        <v>42</v>
      </c>
      <c r="F3" s="3" t="s">
        <v>8</v>
      </c>
      <c r="G3" s="4">
        <v>18</v>
      </c>
      <c r="H3" s="3"/>
      <c r="I3">
        <v>16.45</v>
      </c>
      <c r="J3" s="16">
        <f t="shared" ref="J3:J66" si="0">(I3+5)*1.25*1.21</f>
        <v>32.443125000000002</v>
      </c>
    </row>
    <row r="4" spans="1:10">
      <c r="A4" s="2" t="s">
        <v>8</v>
      </c>
      <c r="B4" s="3" t="s">
        <v>58</v>
      </c>
      <c r="C4" s="3" t="s">
        <v>44</v>
      </c>
      <c r="D4" s="3" t="s">
        <v>41</v>
      </c>
      <c r="E4" s="3" t="s">
        <v>59</v>
      </c>
      <c r="F4" s="3" t="s">
        <v>8</v>
      </c>
      <c r="G4" s="4">
        <v>10</v>
      </c>
      <c r="H4" s="3" t="s">
        <v>60</v>
      </c>
      <c r="I4">
        <v>16.45</v>
      </c>
      <c r="J4" s="16">
        <f t="shared" si="0"/>
        <v>32.443125000000002</v>
      </c>
    </row>
    <row r="5" spans="1:10">
      <c r="A5" s="2" t="s">
        <v>8</v>
      </c>
      <c r="B5" s="3" t="s">
        <v>107</v>
      </c>
      <c r="C5" s="3" t="s">
        <v>44</v>
      </c>
      <c r="D5" s="3" t="s">
        <v>41</v>
      </c>
      <c r="E5" s="3" t="s">
        <v>42</v>
      </c>
      <c r="F5" s="3" t="s">
        <v>8</v>
      </c>
      <c r="G5" s="4">
        <v>14</v>
      </c>
      <c r="H5" s="3"/>
      <c r="I5">
        <v>16.45</v>
      </c>
      <c r="J5" s="16">
        <f t="shared" si="0"/>
        <v>32.443125000000002</v>
      </c>
    </row>
    <row r="6" spans="1:10">
      <c r="A6" s="2" t="s">
        <v>8</v>
      </c>
      <c r="B6" s="3" t="s">
        <v>108</v>
      </c>
      <c r="C6" s="3" t="s">
        <v>44</v>
      </c>
      <c r="D6" s="3" t="s">
        <v>41</v>
      </c>
      <c r="E6" s="3" t="s">
        <v>59</v>
      </c>
      <c r="F6" s="3" t="s">
        <v>8</v>
      </c>
      <c r="G6" s="4">
        <v>12</v>
      </c>
      <c r="H6" s="3" t="s">
        <v>60</v>
      </c>
      <c r="I6">
        <v>16.45</v>
      </c>
      <c r="J6" s="16">
        <f t="shared" si="0"/>
        <v>32.443125000000002</v>
      </c>
    </row>
    <row r="7" spans="1:10">
      <c r="A7" s="6" t="s">
        <v>182</v>
      </c>
      <c r="B7" s="3" t="s">
        <v>183</v>
      </c>
      <c r="C7" s="3" t="s">
        <v>184</v>
      </c>
      <c r="D7" s="3" t="s">
        <v>37</v>
      </c>
      <c r="E7" s="3" t="s">
        <v>185</v>
      </c>
      <c r="F7" s="3" t="s">
        <v>183</v>
      </c>
      <c r="G7" s="4">
        <v>184</v>
      </c>
      <c r="H7" s="3"/>
      <c r="I7">
        <v>12.15</v>
      </c>
      <c r="J7" s="16">
        <f>(I7+5)*1.25*1.21</f>
        <v>25.939374999999998</v>
      </c>
    </row>
    <row r="8" spans="1:10">
      <c r="A8" s="6" t="s">
        <v>182</v>
      </c>
      <c r="B8" s="3" t="s">
        <v>183</v>
      </c>
      <c r="C8" s="3" t="s">
        <v>186</v>
      </c>
      <c r="D8" s="3" t="s">
        <v>37</v>
      </c>
      <c r="E8" s="3" t="s">
        <v>185</v>
      </c>
      <c r="F8" s="3" t="s">
        <v>183</v>
      </c>
      <c r="G8" s="4">
        <v>184</v>
      </c>
      <c r="H8" s="3"/>
      <c r="I8">
        <v>7.65</v>
      </c>
      <c r="J8" s="16">
        <f t="shared" si="0"/>
        <v>19.133125</v>
      </c>
    </row>
    <row r="9" spans="1:10">
      <c r="A9" s="6" t="s">
        <v>182</v>
      </c>
      <c r="B9" s="3" t="s">
        <v>216</v>
      </c>
      <c r="C9" s="3" t="s">
        <v>186</v>
      </c>
      <c r="D9" s="3" t="s">
        <v>41</v>
      </c>
      <c r="E9" s="3" t="s">
        <v>217</v>
      </c>
      <c r="F9" s="3" t="s">
        <v>64</v>
      </c>
      <c r="G9" s="4">
        <v>162</v>
      </c>
      <c r="H9" s="3" t="s">
        <v>218</v>
      </c>
      <c r="I9">
        <v>9.35</v>
      </c>
      <c r="J9" s="16">
        <f t="shared" si="0"/>
        <v>21.704374999999999</v>
      </c>
    </row>
    <row r="10" spans="1:10">
      <c r="A10" s="6" t="s">
        <v>182</v>
      </c>
      <c r="B10" s="3" t="s">
        <v>183</v>
      </c>
      <c r="C10" s="3" t="s">
        <v>187</v>
      </c>
      <c r="D10" s="3" t="s">
        <v>37</v>
      </c>
      <c r="E10" s="3" t="s">
        <v>185</v>
      </c>
      <c r="F10" s="3" t="s">
        <v>183</v>
      </c>
      <c r="G10" s="4">
        <v>184</v>
      </c>
      <c r="H10" s="3"/>
      <c r="I10">
        <v>7.15</v>
      </c>
      <c r="J10" s="16">
        <f t="shared" si="0"/>
        <v>18.376874999999998</v>
      </c>
    </row>
    <row r="11" spans="1:10">
      <c r="A11" s="5" t="s">
        <v>130</v>
      </c>
      <c r="B11" s="3" t="s">
        <v>143</v>
      </c>
      <c r="C11" s="3" t="s">
        <v>144</v>
      </c>
      <c r="D11" s="3" t="s">
        <v>11</v>
      </c>
      <c r="E11" s="3" t="s">
        <v>145</v>
      </c>
      <c r="F11" s="3" t="s">
        <v>13</v>
      </c>
      <c r="G11" s="4">
        <v>110</v>
      </c>
      <c r="H11" s="3" t="s">
        <v>146</v>
      </c>
      <c r="I11">
        <v>5.75</v>
      </c>
      <c r="J11" s="16">
        <f t="shared" si="0"/>
        <v>16.259374999999999</v>
      </c>
    </row>
    <row r="12" spans="1:10">
      <c r="A12" s="5" t="s">
        <v>130</v>
      </c>
      <c r="B12" s="3" t="s">
        <v>151</v>
      </c>
      <c r="C12" s="3" t="s">
        <v>144</v>
      </c>
      <c r="D12" s="3" t="s">
        <v>11</v>
      </c>
      <c r="E12" s="3" t="s">
        <v>145</v>
      </c>
      <c r="F12" s="3" t="s">
        <v>13</v>
      </c>
      <c r="G12" s="4">
        <v>108</v>
      </c>
      <c r="H12" s="3" t="s">
        <v>152</v>
      </c>
      <c r="I12">
        <v>5.75</v>
      </c>
      <c r="J12" s="16">
        <f t="shared" si="0"/>
        <v>16.259374999999999</v>
      </c>
    </row>
    <row r="13" spans="1:10">
      <c r="A13" s="2" t="s">
        <v>8</v>
      </c>
      <c r="B13" s="3" t="s">
        <v>82</v>
      </c>
      <c r="C13" s="3" t="s">
        <v>83</v>
      </c>
      <c r="D13" s="3" t="s">
        <v>11</v>
      </c>
      <c r="E13" s="3" t="s">
        <v>84</v>
      </c>
      <c r="F13" s="3" t="s">
        <v>13</v>
      </c>
      <c r="G13" s="4">
        <v>88</v>
      </c>
      <c r="H13" s="3" t="s">
        <v>85</v>
      </c>
      <c r="I13">
        <v>11.45</v>
      </c>
      <c r="J13" s="16">
        <f t="shared" si="0"/>
        <v>24.880624999999998</v>
      </c>
    </row>
    <row r="14" spans="1:10" ht="15.75" thickBot="1">
      <c r="A14" s="8" t="s">
        <v>182</v>
      </c>
      <c r="B14" s="9" t="s">
        <v>183</v>
      </c>
      <c r="C14" s="9" t="s">
        <v>188</v>
      </c>
      <c r="D14" s="9" t="s">
        <v>37</v>
      </c>
      <c r="E14" s="9" t="s">
        <v>185</v>
      </c>
      <c r="F14" s="9" t="s">
        <v>183</v>
      </c>
      <c r="G14" s="10">
        <v>184</v>
      </c>
      <c r="H14" s="9"/>
      <c r="I14">
        <v>5.95</v>
      </c>
      <c r="J14" s="16">
        <f t="shared" si="0"/>
        <v>16.561875000000001</v>
      </c>
    </row>
    <row r="15" spans="1:10" ht="15.75" thickBot="1">
      <c r="A15" s="11" t="s">
        <v>182</v>
      </c>
      <c r="B15" s="12" t="s">
        <v>183</v>
      </c>
      <c r="C15" s="12" t="s">
        <v>189</v>
      </c>
      <c r="D15" s="12" t="s">
        <v>37</v>
      </c>
      <c r="E15" s="12" t="s">
        <v>185</v>
      </c>
      <c r="F15" s="12" t="s">
        <v>183</v>
      </c>
      <c r="G15" s="14">
        <v>184</v>
      </c>
      <c r="H15" s="15" t="s">
        <v>244</v>
      </c>
      <c r="I15" s="13"/>
      <c r="J15" s="16"/>
    </row>
    <row r="16" spans="1:10">
      <c r="A16" s="5" t="s">
        <v>130</v>
      </c>
      <c r="B16" s="3" t="s">
        <v>147</v>
      </c>
      <c r="C16" s="3" t="s">
        <v>148</v>
      </c>
      <c r="D16" s="3" t="s">
        <v>11</v>
      </c>
      <c r="E16" s="3" t="s">
        <v>149</v>
      </c>
      <c r="F16" s="3" t="s">
        <v>13</v>
      </c>
      <c r="G16" s="4">
        <v>104</v>
      </c>
      <c r="H16" s="3" t="s">
        <v>150</v>
      </c>
      <c r="I16">
        <v>6.75</v>
      </c>
      <c r="J16" s="16">
        <f t="shared" si="0"/>
        <v>17.771874999999998</v>
      </c>
    </row>
    <row r="17" spans="1:10">
      <c r="A17" s="5" t="s">
        <v>130</v>
      </c>
      <c r="B17" s="3" t="s">
        <v>168</v>
      </c>
      <c r="C17" s="3" t="s">
        <v>148</v>
      </c>
      <c r="D17" s="3" t="s">
        <v>11</v>
      </c>
      <c r="E17" s="3" t="s">
        <v>169</v>
      </c>
      <c r="F17" s="3" t="s">
        <v>13</v>
      </c>
      <c r="G17" s="4">
        <v>106</v>
      </c>
      <c r="H17" s="3" t="s">
        <v>150</v>
      </c>
      <c r="I17">
        <v>6.75</v>
      </c>
      <c r="J17" s="16">
        <f t="shared" si="0"/>
        <v>17.771874999999998</v>
      </c>
    </row>
    <row r="18" spans="1:10">
      <c r="A18" s="6" t="s">
        <v>182</v>
      </c>
      <c r="B18" s="3" t="s">
        <v>183</v>
      </c>
      <c r="C18" s="3" t="s">
        <v>148</v>
      </c>
      <c r="D18" s="3" t="s">
        <v>37</v>
      </c>
      <c r="E18" s="3" t="s">
        <v>185</v>
      </c>
      <c r="F18" s="3" t="s">
        <v>183</v>
      </c>
      <c r="G18" s="4">
        <v>184</v>
      </c>
      <c r="H18" s="3"/>
      <c r="I18">
        <v>6.45</v>
      </c>
      <c r="J18" s="16">
        <f t="shared" si="0"/>
        <v>17.318124999999998</v>
      </c>
    </row>
    <row r="19" spans="1:10">
      <c r="A19" s="6" t="s">
        <v>182</v>
      </c>
      <c r="B19" s="3" t="s">
        <v>193</v>
      </c>
      <c r="C19" s="3" t="s">
        <v>148</v>
      </c>
      <c r="D19" s="3" t="s">
        <v>11</v>
      </c>
      <c r="E19" s="3" t="s">
        <v>194</v>
      </c>
      <c r="F19" s="3" t="s">
        <v>64</v>
      </c>
      <c r="G19" s="4">
        <v>158</v>
      </c>
      <c r="H19" s="3" t="s">
        <v>195</v>
      </c>
      <c r="I19">
        <v>6.95</v>
      </c>
      <c r="J19" s="16">
        <f t="shared" si="0"/>
        <v>18.074375</v>
      </c>
    </row>
    <row r="20" spans="1:10">
      <c r="A20" s="6" t="s">
        <v>182</v>
      </c>
      <c r="B20" s="3" t="s">
        <v>53</v>
      </c>
      <c r="C20" s="3" t="s">
        <v>148</v>
      </c>
      <c r="D20" s="3" t="s">
        <v>41</v>
      </c>
      <c r="E20" s="3" t="s">
        <v>196</v>
      </c>
      <c r="F20" s="3" t="s">
        <v>64</v>
      </c>
      <c r="G20" s="4">
        <v>150</v>
      </c>
      <c r="H20" s="3"/>
      <c r="I20">
        <v>6.95</v>
      </c>
      <c r="J20" s="16">
        <f t="shared" si="0"/>
        <v>18.074375</v>
      </c>
    </row>
    <row r="21" spans="1:10">
      <c r="A21" s="6" t="s">
        <v>182</v>
      </c>
      <c r="B21" s="3" t="s">
        <v>201</v>
      </c>
      <c r="C21" s="3" t="s">
        <v>148</v>
      </c>
      <c r="D21" s="3" t="s">
        <v>41</v>
      </c>
      <c r="E21" s="3" t="s">
        <v>196</v>
      </c>
      <c r="F21" s="3" t="s">
        <v>64</v>
      </c>
      <c r="G21" s="4">
        <v>154</v>
      </c>
      <c r="H21" s="3" t="s">
        <v>202</v>
      </c>
      <c r="I21">
        <v>6.95</v>
      </c>
      <c r="J21" s="16">
        <f t="shared" si="0"/>
        <v>18.074375</v>
      </c>
    </row>
    <row r="22" spans="1:10">
      <c r="A22" s="6" t="s">
        <v>182</v>
      </c>
      <c r="B22" s="3" t="s">
        <v>203</v>
      </c>
      <c r="C22" s="3" t="s">
        <v>148</v>
      </c>
      <c r="D22" s="3" t="s">
        <v>11</v>
      </c>
      <c r="E22" s="3" t="s">
        <v>125</v>
      </c>
      <c r="F22" s="3" t="s">
        <v>64</v>
      </c>
      <c r="G22" s="4">
        <v>152</v>
      </c>
      <c r="H22" s="3" t="s">
        <v>204</v>
      </c>
      <c r="I22">
        <v>6.95</v>
      </c>
      <c r="J22" s="16">
        <f t="shared" si="0"/>
        <v>18.074375</v>
      </c>
    </row>
    <row r="23" spans="1:10">
      <c r="A23" s="6" t="s">
        <v>182</v>
      </c>
      <c r="B23" s="3" t="s">
        <v>214</v>
      </c>
      <c r="C23" s="3" t="s">
        <v>148</v>
      </c>
      <c r="D23" s="3" t="s">
        <v>11</v>
      </c>
      <c r="E23" s="3" t="s">
        <v>194</v>
      </c>
      <c r="F23" s="3" t="s">
        <v>64</v>
      </c>
      <c r="G23" s="4">
        <v>156</v>
      </c>
      <c r="H23" s="3" t="s">
        <v>215</v>
      </c>
      <c r="I23">
        <v>6.95</v>
      </c>
      <c r="J23" s="16">
        <f t="shared" si="0"/>
        <v>18.074375</v>
      </c>
    </row>
    <row r="24" spans="1:10">
      <c r="A24" s="2" t="s">
        <v>8</v>
      </c>
      <c r="B24" s="3" t="s">
        <v>19</v>
      </c>
      <c r="C24" s="3" t="s">
        <v>20</v>
      </c>
      <c r="D24" s="3" t="s">
        <v>11</v>
      </c>
      <c r="E24" s="3" t="s">
        <v>12</v>
      </c>
      <c r="F24" s="3" t="s">
        <v>13</v>
      </c>
      <c r="G24" s="4">
        <v>90</v>
      </c>
      <c r="H24" s="3" t="s">
        <v>21</v>
      </c>
      <c r="I24">
        <v>8.9499999999999993</v>
      </c>
      <c r="J24" s="16">
        <f t="shared" si="0"/>
        <v>21.099374999999998</v>
      </c>
    </row>
    <row r="25" spans="1:10">
      <c r="A25" s="2" t="s">
        <v>8</v>
      </c>
      <c r="B25" s="3" t="s">
        <v>56</v>
      </c>
      <c r="C25" s="3" t="s">
        <v>20</v>
      </c>
      <c r="D25" s="3" t="s">
        <v>11</v>
      </c>
      <c r="E25" s="3" t="s">
        <v>12</v>
      </c>
      <c r="F25" s="3" t="s">
        <v>13</v>
      </c>
      <c r="G25" s="4">
        <v>98</v>
      </c>
      <c r="H25" s="3" t="s">
        <v>57</v>
      </c>
      <c r="I25">
        <v>8.9499999999999993</v>
      </c>
      <c r="J25" s="16">
        <f t="shared" si="0"/>
        <v>21.099374999999998</v>
      </c>
    </row>
    <row r="26" spans="1:10">
      <c r="A26" s="2" t="s">
        <v>8</v>
      </c>
      <c r="B26" s="3" t="s">
        <v>61</v>
      </c>
      <c r="C26" s="3" t="s">
        <v>20</v>
      </c>
      <c r="D26" s="3" t="s">
        <v>11</v>
      </c>
      <c r="E26" s="3" t="s">
        <v>12</v>
      </c>
      <c r="F26" s="3" t="s">
        <v>13</v>
      </c>
      <c r="G26" s="4">
        <v>96</v>
      </c>
      <c r="H26" s="3"/>
      <c r="I26">
        <v>8.9499999999999993</v>
      </c>
      <c r="J26" s="16">
        <f t="shared" si="0"/>
        <v>21.099374999999998</v>
      </c>
    </row>
    <row r="27" spans="1:10">
      <c r="A27" s="2" t="s">
        <v>8</v>
      </c>
      <c r="B27" s="3" t="s">
        <v>89</v>
      </c>
      <c r="C27" s="3" t="s">
        <v>20</v>
      </c>
      <c r="D27" s="3" t="s">
        <v>11</v>
      </c>
      <c r="E27" s="3" t="s">
        <v>12</v>
      </c>
      <c r="F27" s="3" t="s">
        <v>13</v>
      </c>
      <c r="G27" s="4">
        <v>92</v>
      </c>
      <c r="H27" s="3"/>
      <c r="I27">
        <v>8.9499999999999993</v>
      </c>
      <c r="J27" s="16">
        <f t="shared" si="0"/>
        <v>21.099374999999998</v>
      </c>
    </row>
    <row r="28" spans="1:10">
      <c r="A28" s="2" t="s">
        <v>8</v>
      </c>
      <c r="B28" s="3" t="s">
        <v>113</v>
      </c>
      <c r="C28" s="3" t="s">
        <v>20</v>
      </c>
      <c r="D28" s="3" t="s">
        <v>11</v>
      </c>
      <c r="E28" s="3" t="s">
        <v>12</v>
      </c>
      <c r="F28" s="3" t="s">
        <v>13</v>
      </c>
      <c r="G28" s="4">
        <v>100</v>
      </c>
      <c r="H28" s="3" t="s">
        <v>114</v>
      </c>
      <c r="I28">
        <v>8.9499999999999993</v>
      </c>
      <c r="J28" s="16">
        <f t="shared" si="0"/>
        <v>21.099374999999998</v>
      </c>
    </row>
    <row r="29" spans="1:10">
      <c r="A29" s="2" t="s">
        <v>8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13</v>
      </c>
      <c r="G29" s="4">
        <v>82</v>
      </c>
      <c r="H29" s="3" t="s">
        <v>14</v>
      </c>
      <c r="I29">
        <v>9.35</v>
      </c>
      <c r="J29" s="16">
        <f t="shared" si="0"/>
        <v>21.704374999999999</v>
      </c>
    </row>
    <row r="30" spans="1:10">
      <c r="A30" s="2" t="s">
        <v>8</v>
      </c>
      <c r="B30" s="3" t="s">
        <v>25</v>
      </c>
      <c r="C30" s="3" t="s">
        <v>10</v>
      </c>
      <c r="D30" s="3" t="s">
        <v>11</v>
      </c>
      <c r="E30" s="3" t="s">
        <v>12</v>
      </c>
      <c r="F30" s="3" t="s">
        <v>13</v>
      </c>
      <c r="G30" s="4">
        <v>80</v>
      </c>
      <c r="H30" s="3" t="s">
        <v>26</v>
      </c>
      <c r="I30">
        <v>9.35</v>
      </c>
      <c r="J30" s="16">
        <f t="shared" si="0"/>
        <v>21.704374999999999</v>
      </c>
    </row>
    <row r="31" spans="1:10">
      <c r="A31" s="2" t="s">
        <v>8</v>
      </c>
      <c r="B31" s="3" t="s">
        <v>111</v>
      </c>
      <c r="C31" s="3" t="s">
        <v>10</v>
      </c>
      <c r="D31" s="3" t="s">
        <v>11</v>
      </c>
      <c r="E31" s="3" t="s">
        <v>12</v>
      </c>
      <c r="F31" s="3" t="s">
        <v>13</v>
      </c>
      <c r="G31" s="4">
        <v>84</v>
      </c>
      <c r="H31" s="3" t="s">
        <v>112</v>
      </c>
      <c r="I31">
        <v>9.35</v>
      </c>
      <c r="J31" s="16">
        <f t="shared" si="0"/>
        <v>21.704374999999999</v>
      </c>
    </row>
    <row r="32" spans="1:10">
      <c r="A32" s="2" t="s">
        <v>8</v>
      </c>
      <c r="B32" s="3" t="s">
        <v>117</v>
      </c>
      <c r="C32" s="3" t="s">
        <v>10</v>
      </c>
      <c r="D32" s="3" t="s">
        <v>11</v>
      </c>
      <c r="E32" s="3" t="s">
        <v>12</v>
      </c>
      <c r="F32" s="3" t="s">
        <v>13</v>
      </c>
      <c r="G32" s="4">
        <v>86</v>
      </c>
      <c r="H32" s="3" t="s">
        <v>118</v>
      </c>
      <c r="I32">
        <v>9.35</v>
      </c>
      <c r="J32" s="16">
        <f t="shared" si="0"/>
        <v>21.704374999999999</v>
      </c>
    </row>
    <row r="33" spans="1:10">
      <c r="A33" s="6" t="s">
        <v>182</v>
      </c>
      <c r="B33" s="3" t="s">
        <v>183</v>
      </c>
      <c r="C33" s="3" t="s">
        <v>190</v>
      </c>
      <c r="D33" s="3" t="s">
        <v>37</v>
      </c>
      <c r="E33" s="3" t="s">
        <v>185</v>
      </c>
      <c r="F33" s="3" t="s">
        <v>183</v>
      </c>
      <c r="G33" s="4">
        <v>184</v>
      </c>
      <c r="H33" s="3"/>
      <c r="I33">
        <v>5.95</v>
      </c>
      <c r="J33" s="16">
        <f t="shared" si="0"/>
        <v>16.561875000000001</v>
      </c>
    </row>
    <row r="34" spans="1:10">
      <c r="A34" s="6" t="s">
        <v>182</v>
      </c>
      <c r="B34" s="3" t="s">
        <v>183</v>
      </c>
      <c r="C34" s="3" t="s">
        <v>191</v>
      </c>
      <c r="D34" s="3" t="s">
        <v>37</v>
      </c>
      <c r="E34" s="3" t="s">
        <v>185</v>
      </c>
      <c r="F34" s="3" t="s">
        <v>183</v>
      </c>
      <c r="G34" s="4">
        <v>184</v>
      </c>
      <c r="H34" s="3"/>
      <c r="I34">
        <v>6.35</v>
      </c>
      <c r="J34" s="16">
        <f t="shared" si="0"/>
        <v>17.166875000000001</v>
      </c>
    </row>
    <row r="35" spans="1:10">
      <c r="A35" s="6" t="s">
        <v>182</v>
      </c>
      <c r="B35" s="3" t="s">
        <v>205</v>
      </c>
      <c r="C35" s="3" t="s">
        <v>191</v>
      </c>
      <c r="D35" s="3" t="s">
        <v>11</v>
      </c>
      <c r="E35" s="3" t="s">
        <v>194</v>
      </c>
      <c r="F35" s="3" t="s">
        <v>64</v>
      </c>
      <c r="G35" s="4">
        <v>158</v>
      </c>
      <c r="H35" s="3" t="s">
        <v>206</v>
      </c>
      <c r="I35">
        <v>6.45</v>
      </c>
      <c r="J35" s="16">
        <f t="shared" si="0"/>
        <v>17.318124999999998</v>
      </c>
    </row>
    <row r="36" spans="1:10">
      <c r="A36" s="6" t="s">
        <v>182</v>
      </c>
      <c r="B36" s="3" t="s">
        <v>183</v>
      </c>
      <c r="C36" s="3" t="s">
        <v>192</v>
      </c>
      <c r="D36" s="3" t="s">
        <v>37</v>
      </c>
      <c r="E36" s="3" t="s">
        <v>185</v>
      </c>
      <c r="F36" s="3" t="s">
        <v>183</v>
      </c>
      <c r="G36" s="4">
        <v>184</v>
      </c>
      <c r="H36" s="3"/>
      <c r="I36">
        <v>7.55</v>
      </c>
      <c r="J36" s="16">
        <f t="shared" si="0"/>
        <v>18.981874999999999</v>
      </c>
    </row>
    <row r="37" spans="1:10">
      <c r="A37" s="6" t="s">
        <v>182</v>
      </c>
      <c r="B37" s="3" t="s">
        <v>199</v>
      </c>
      <c r="C37" s="3" t="s">
        <v>192</v>
      </c>
      <c r="D37" s="3" t="s">
        <v>41</v>
      </c>
      <c r="E37" s="3" t="s">
        <v>196</v>
      </c>
      <c r="F37" s="3" t="s">
        <v>64</v>
      </c>
      <c r="G37" s="4">
        <v>128</v>
      </c>
      <c r="H37" s="3" t="s">
        <v>200</v>
      </c>
      <c r="I37">
        <v>7.95</v>
      </c>
      <c r="J37" s="16">
        <f t="shared" si="0"/>
        <v>19.586874999999999</v>
      </c>
    </row>
    <row r="38" spans="1:10">
      <c r="A38" s="6" t="s">
        <v>182</v>
      </c>
      <c r="B38" s="3" t="s">
        <v>159</v>
      </c>
      <c r="C38" s="3" t="s">
        <v>192</v>
      </c>
      <c r="D38" s="3" t="s">
        <v>41</v>
      </c>
      <c r="E38" s="3" t="s">
        <v>196</v>
      </c>
      <c r="F38" s="3" t="s">
        <v>64</v>
      </c>
      <c r="G38" s="4">
        <v>130</v>
      </c>
      <c r="H38" s="3" t="s">
        <v>207</v>
      </c>
      <c r="I38">
        <v>7.95</v>
      </c>
      <c r="J38" s="16">
        <f t="shared" si="0"/>
        <v>19.586874999999999</v>
      </c>
    </row>
    <row r="39" spans="1:10">
      <c r="A39" s="6" t="s">
        <v>182</v>
      </c>
      <c r="B39" s="3" t="s">
        <v>209</v>
      </c>
      <c r="C39" s="3" t="s">
        <v>192</v>
      </c>
      <c r="D39" s="3" t="s">
        <v>11</v>
      </c>
      <c r="E39" s="3" t="s">
        <v>125</v>
      </c>
      <c r="F39" s="3" t="s">
        <v>64</v>
      </c>
      <c r="G39" s="4">
        <v>132</v>
      </c>
      <c r="H39" s="3" t="s">
        <v>210</v>
      </c>
      <c r="I39">
        <v>7.95</v>
      </c>
      <c r="J39" s="16">
        <f t="shared" si="0"/>
        <v>19.586874999999999</v>
      </c>
    </row>
    <row r="40" spans="1:10">
      <c r="A40" s="2" t="s">
        <v>8</v>
      </c>
      <c r="B40" s="3" t="s">
        <v>15</v>
      </c>
      <c r="C40" s="3" t="s">
        <v>16</v>
      </c>
      <c r="D40" s="3" t="s">
        <v>11</v>
      </c>
      <c r="E40" s="3" t="s">
        <v>17</v>
      </c>
      <c r="F40" s="3" t="s">
        <v>8</v>
      </c>
      <c r="G40" s="4">
        <v>62</v>
      </c>
      <c r="H40" s="3" t="s">
        <v>18</v>
      </c>
      <c r="I40">
        <v>8.9499999999999993</v>
      </c>
      <c r="J40" s="16">
        <f t="shared" si="0"/>
        <v>21.099374999999998</v>
      </c>
    </row>
    <row r="41" spans="1:10">
      <c r="A41" s="2" t="s">
        <v>8</v>
      </c>
      <c r="B41" s="3" t="s">
        <v>22</v>
      </c>
      <c r="C41" s="3" t="s">
        <v>16</v>
      </c>
      <c r="D41" s="3" t="s">
        <v>23</v>
      </c>
      <c r="E41" s="3" t="s">
        <v>24</v>
      </c>
      <c r="F41" s="3" t="s">
        <v>8</v>
      </c>
      <c r="G41" s="4">
        <v>54</v>
      </c>
      <c r="H41" s="3"/>
      <c r="I41">
        <v>8.9499999999999993</v>
      </c>
      <c r="J41" s="16">
        <f t="shared" si="0"/>
        <v>21.099374999999998</v>
      </c>
    </row>
    <row r="42" spans="1:10">
      <c r="A42" s="2" t="s">
        <v>8</v>
      </c>
      <c r="B42" s="3" t="s">
        <v>66</v>
      </c>
      <c r="C42" s="3" t="s">
        <v>16</v>
      </c>
      <c r="D42" s="3" t="s">
        <v>23</v>
      </c>
      <c r="E42" s="3" t="s">
        <v>67</v>
      </c>
      <c r="F42" s="3" t="s">
        <v>8</v>
      </c>
      <c r="G42" s="4">
        <v>60</v>
      </c>
      <c r="H42" s="3" t="s">
        <v>65</v>
      </c>
      <c r="I42">
        <v>8.9499999999999993</v>
      </c>
      <c r="J42" s="16">
        <f t="shared" si="0"/>
        <v>21.099374999999998</v>
      </c>
    </row>
    <row r="43" spans="1:10">
      <c r="A43" s="2" t="s">
        <v>8</v>
      </c>
      <c r="B43" s="3" t="s">
        <v>69</v>
      </c>
      <c r="C43" s="3" t="s">
        <v>16</v>
      </c>
      <c r="D43" s="3" t="s">
        <v>11</v>
      </c>
      <c r="E43" s="3" t="s">
        <v>70</v>
      </c>
      <c r="F43" s="3" t="s">
        <v>8</v>
      </c>
      <c r="G43" s="4">
        <v>70</v>
      </c>
      <c r="H43" s="3" t="s">
        <v>71</v>
      </c>
      <c r="I43">
        <v>8.9499999999999993</v>
      </c>
      <c r="J43" s="16">
        <f t="shared" si="0"/>
        <v>21.099374999999998</v>
      </c>
    </row>
    <row r="44" spans="1:10">
      <c r="A44" s="2" t="s">
        <v>8</v>
      </c>
      <c r="B44" s="3" t="s">
        <v>78</v>
      </c>
      <c r="C44" s="3" t="s">
        <v>16</v>
      </c>
      <c r="D44" s="3" t="s">
        <v>23</v>
      </c>
      <c r="E44" s="3" t="s">
        <v>67</v>
      </c>
      <c r="F44" s="3" t="s">
        <v>8</v>
      </c>
      <c r="G44" s="4">
        <v>40</v>
      </c>
      <c r="H44" s="3"/>
      <c r="I44">
        <v>8.9499999999999993</v>
      </c>
      <c r="J44" s="16">
        <f t="shared" si="0"/>
        <v>21.099374999999998</v>
      </c>
    </row>
    <row r="45" spans="1:10">
      <c r="A45" s="2" t="s">
        <v>8</v>
      </c>
      <c r="B45" s="3" t="s">
        <v>101</v>
      </c>
      <c r="C45" s="3" t="s">
        <v>16</v>
      </c>
      <c r="D45" s="3" t="s">
        <v>11</v>
      </c>
      <c r="E45" s="3" t="s">
        <v>102</v>
      </c>
      <c r="F45" s="3" t="s">
        <v>8</v>
      </c>
      <c r="G45" s="4">
        <v>64</v>
      </c>
      <c r="H45" s="3" t="s">
        <v>103</v>
      </c>
      <c r="I45">
        <v>9.9499999999999993</v>
      </c>
      <c r="J45" s="16">
        <f t="shared" si="0"/>
        <v>22.611874999999998</v>
      </c>
    </row>
    <row r="46" spans="1:10">
      <c r="A46" s="2" t="s">
        <v>8</v>
      </c>
      <c r="B46" s="3" t="s">
        <v>123</v>
      </c>
      <c r="C46" s="3" t="s">
        <v>16</v>
      </c>
      <c r="D46" s="3" t="s">
        <v>23</v>
      </c>
      <c r="E46" s="3" t="s">
        <v>24</v>
      </c>
      <c r="F46" s="3" t="s">
        <v>8</v>
      </c>
      <c r="G46" s="4">
        <v>56</v>
      </c>
      <c r="H46" s="3"/>
      <c r="I46">
        <v>8.9499999999999993</v>
      </c>
      <c r="J46" s="16">
        <f t="shared" si="0"/>
        <v>21.099374999999998</v>
      </c>
    </row>
    <row r="47" spans="1:10">
      <c r="A47" s="2" t="s">
        <v>8</v>
      </c>
      <c r="B47" s="3" t="s">
        <v>124</v>
      </c>
      <c r="C47" s="3" t="s">
        <v>16</v>
      </c>
      <c r="D47" s="3" t="s">
        <v>11</v>
      </c>
      <c r="E47" s="3" t="s">
        <v>125</v>
      </c>
      <c r="F47" s="3" t="s">
        <v>8</v>
      </c>
      <c r="G47" s="4">
        <v>68</v>
      </c>
      <c r="H47" s="3" t="s">
        <v>126</v>
      </c>
      <c r="I47">
        <v>8.9499999999999993</v>
      </c>
      <c r="J47" s="16">
        <f t="shared" si="0"/>
        <v>21.099374999999998</v>
      </c>
    </row>
    <row r="48" spans="1:10">
      <c r="A48" s="2" t="s">
        <v>8</v>
      </c>
      <c r="B48" s="3" t="s">
        <v>129</v>
      </c>
      <c r="C48" s="3" t="s">
        <v>16</v>
      </c>
      <c r="D48" s="3" t="s">
        <v>23</v>
      </c>
      <c r="E48" s="3" t="s">
        <v>24</v>
      </c>
      <c r="F48" s="3" t="s">
        <v>8</v>
      </c>
      <c r="G48" s="4">
        <v>58</v>
      </c>
      <c r="H48" s="3"/>
      <c r="I48">
        <v>8.9499999999999993</v>
      </c>
      <c r="J48" s="16">
        <f t="shared" si="0"/>
        <v>21.099374999999998</v>
      </c>
    </row>
    <row r="49" spans="1:10">
      <c r="A49" s="6" t="s">
        <v>182</v>
      </c>
      <c r="B49" s="3" t="s">
        <v>183</v>
      </c>
      <c r="C49" s="3" t="s">
        <v>16</v>
      </c>
      <c r="D49" s="3" t="s">
        <v>37</v>
      </c>
      <c r="E49" s="3" t="s">
        <v>185</v>
      </c>
      <c r="F49" s="3" t="s">
        <v>183</v>
      </c>
      <c r="G49" s="4">
        <v>184</v>
      </c>
      <c r="H49" s="3"/>
      <c r="I49">
        <v>6.55</v>
      </c>
      <c r="J49" s="16">
        <f t="shared" si="0"/>
        <v>17.469374999999999</v>
      </c>
    </row>
    <row r="50" spans="1:10">
      <c r="A50" s="6" t="s">
        <v>182</v>
      </c>
      <c r="B50" s="3" t="s">
        <v>53</v>
      </c>
      <c r="C50" s="3" t="s">
        <v>16</v>
      </c>
      <c r="D50" s="3" t="s">
        <v>41</v>
      </c>
      <c r="E50" s="3" t="s">
        <v>196</v>
      </c>
      <c r="F50" s="3" t="s">
        <v>64</v>
      </c>
      <c r="G50" s="4">
        <v>150</v>
      </c>
      <c r="H50" s="3" t="s">
        <v>197</v>
      </c>
      <c r="I50">
        <v>6.95</v>
      </c>
      <c r="J50" s="16">
        <f t="shared" si="0"/>
        <v>18.074375</v>
      </c>
    </row>
    <row r="51" spans="1:10">
      <c r="A51" s="6" t="s">
        <v>182</v>
      </c>
      <c r="B51" s="3" t="s">
        <v>198</v>
      </c>
      <c r="C51" s="3" t="s">
        <v>16</v>
      </c>
      <c r="D51" s="3" t="s">
        <v>11</v>
      </c>
      <c r="E51" s="3" t="s">
        <v>194</v>
      </c>
      <c r="F51" s="3" t="s">
        <v>64</v>
      </c>
      <c r="G51" s="4">
        <v>140</v>
      </c>
      <c r="H51" s="3"/>
      <c r="I51">
        <v>6.95</v>
      </c>
      <c r="J51" s="16">
        <f t="shared" si="0"/>
        <v>18.074375</v>
      </c>
    </row>
    <row r="52" spans="1:10">
      <c r="A52" s="6" t="s">
        <v>182</v>
      </c>
      <c r="B52" s="3" t="s">
        <v>62</v>
      </c>
      <c r="C52" s="3" t="s">
        <v>16</v>
      </c>
      <c r="D52" s="3" t="s">
        <v>11</v>
      </c>
      <c r="E52" s="3" t="s">
        <v>194</v>
      </c>
      <c r="F52" s="3" t="s">
        <v>64</v>
      </c>
      <c r="G52" s="4">
        <v>138</v>
      </c>
      <c r="H52" s="3"/>
      <c r="I52">
        <v>6.95</v>
      </c>
      <c r="J52" s="16">
        <f t="shared" si="0"/>
        <v>18.074375</v>
      </c>
    </row>
    <row r="53" spans="1:10">
      <c r="A53" s="6" t="s">
        <v>182</v>
      </c>
      <c r="B53" s="3" t="s">
        <v>72</v>
      </c>
      <c r="C53" s="3" t="s">
        <v>16</v>
      </c>
      <c r="D53" s="3" t="s">
        <v>11</v>
      </c>
      <c r="E53" s="3" t="s">
        <v>125</v>
      </c>
      <c r="F53" s="3" t="s">
        <v>64</v>
      </c>
      <c r="G53" s="4">
        <v>142</v>
      </c>
      <c r="H53" s="3"/>
      <c r="I53">
        <v>6.95</v>
      </c>
      <c r="J53" s="16">
        <f t="shared" si="0"/>
        <v>18.074375</v>
      </c>
    </row>
    <row r="54" spans="1:10">
      <c r="A54" s="6" t="s">
        <v>182</v>
      </c>
      <c r="B54" s="3" t="s">
        <v>74</v>
      </c>
      <c r="C54" s="3" t="s">
        <v>16</v>
      </c>
      <c r="D54" s="3" t="s">
        <v>41</v>
      </c>
      <c r="E54" s="3" t="s">
        <v>196</v>
      </c>
      <c r="F54" s="3" t="s">
        <v>64</v>
      </c>
      <c r="G54" s="4">
        <v>148</v>
      </c>
      <c r="H54" s="3" t="s">
        <v>208</v>
      </c>
      <c r="I54">
        <v>6.95</v>
      </c>
      <c r="J54" s="16">
        <f t="shared" si="0"/>
        <v>18.074375</v>
      </c>
    </row>
    <row r="55" spans="1:10">
      <c r="A55" s="6" t="s">
        <v>182</v>
      </c>
      <c r="B55" s="3" t="s">
        <v>82</v>
      </c>
      <c r="C55" s="3" t="s">
        <v>16</v>
      </c>
      <c r="D55" s="3" t="s">
        <v>41</v>
      </c>
      <c r="E55" s="3" t="s">
        <v>196</v>
      </c>
      <c r="F55" s="3" t="s">
        <v>64</v>
      </c>
      <c r="G55" s="4">
        <v>144</v>
      </c>
      <c r="H55" s="3"/>
      <c r="I55">
        <v>6.95</v>
      </c>
      <c r="J55" s="16">
        <f t="shared" si="0"/>
        <v>18.074375</v>
      </c>
    </row>
    <row r="56" spans="1:10">
      <c r="A56" s="6" t="s">
        <v>182</v>
      </c>
      <c r="B56" s="3" t="s">
        <v>211</v>
      </c>
      <c r="C56" s="3" t="s">
        <v>16</v>
      </c>
      <c r="D56" s="3" t="s">
        <v>41</v>
      </c>
      <c r="E56" s="3" t="s">
        <v>212</v>
      </c>
      <c r="F56" s="3" t="s">
        <v>64</v>
      </c>
      <c r="G56" s="4">
        <v>134</v>
      </c>
      <c r="H56" s="3" t="s">
        <v>213</v>
      </c>
      <c r="I56">
        <v>6.95</v>
      </c>
      <c r="J56" s="16">
        <f t="shared" si="0"/>
        <v>18.074375</v>
      </c>
    </row>
    <row r="57" spans="1:10">
      <c r="A57" s="6" t="s">
        <v>182</v>
      </c>
      <c r="B57" s="3" t="s">
        <v>219</v>
      </c>
      <c r="C57" s="3" t="s">
        <v>16</v>
      </c>
      <c r="D57" s="3" t="s">
        <v>41</v>
      </c>
      <c r="E57" s="3" t="s">
        <v>212</v>
      </c>
      <c r="F57" s="3" t="s">
        <v>64</v>
      </c>
      <c r="G57" s="4">
        <v>136</v>
      </c>
      <c r="H57" s="3" t="s">
        <v>220</v>
      </c>
      <c r="I57">
        <v>6.95</v>
      </c>
      <c r="J57" s="16">
        <f t="shared" si="0"/>
        <v>18.074375</v>
      </c>
    </row>
    <row r="58" spans="1:10">
      <c r="A58" s="6" t="s">
        <v>182</v>
      </c>
      <c r="B58" s="3" t="s">
        <v>90</v>
      </c>
      <c r="C58" s="3" t="s">
        <v>16</v>
      </c>
      <c r="D58" s="3" t="s">
        <v>11</v>
      </c>
      <c r="E58" s="3" t="s">
        <v>125</v>
      </c>
      <c r="F58" s="3" t="s">
        <v>64</v>
      </c>
      <c r="G58" s="4">
        <v>146</v>
      </c>
      <c r="H58" s="3" t="s">
        <v>221</v>
      </c>
      <c r="I58">
        <v>6.95</v>
      </c>
      <c r="J58" s="16">
        <f t="shared" si="0"/>
        <v>18.074375</v>
      </c>
    </row>
    <row r="59" spans="1:10">
      <c r="A59" s="6" t="s">
        <v>182</v>
      </c>
      <c r="B59" s="3" t="s">
        <v>98</v>
      </c>
      <c r="C59" s="3" t="s">
        <v>16</v>
      </c>
      <c r="D59" s="3" t="s">
        <v>11</v>
      </c>
      <c r="E59" s="3" t="s">
        <v>222</v>
      </c>
      <c r="F59" s="3" t="s">
        <v>8</v>
      </c>
      <c r="G59" s="4">
        <v>34</v>
      </c>
      <c r="H59" s="3" t="s">
        <v>223</v>
      </c>
      <c r="I59">
        <v>6.95</v>
      </c>
      <c r="J59" s="16">
        <f t="shared" si="0"/>
        <v>18.074375</v>
      </c>
    </row>
    <row r="60" spans="1:10">
      <c r="A60" s="6" t="s">
        <v>182</v>
      </c>
      <c r="B60" s="3" t="s">
        <v>104</v>
      </c>
      <c r="C60" s="3" t="s">
        <v>16</v>
      </c>
      <c r="D60" s="3" t="s">
        <v>41</v>
      </c>
      <c r="E60" s="3" t="s">
        <v>224</v>
      </c>
      <c r="F60" s="3" t="s">
        <v>8</v>
      </c>
      <c r="G60" s="4">
        <v>50</v>
      </c>
      <c r="H60" s="3" t="s">
        <v>225</v>
      </c>
      <c r="I60">
        <v>6.95</v>
      </c>
      <c r="J60" s="16">
        <f t="shared" si="0"/>
        <v>18.074375</v>
      </c>
    </row>
    <row r="61" spans="1:10">
      <c r="A61" s="7" t="s">
        <v>226</v>
      </c>
      <c r="B61" s="3" t="s">
        <v>183</v>
      </c>
      <c r="C61" s="3" t="s">
        <v>16</v>
      </c>
      <c r="D61" s="3" t="s">
        <v>37</v>
      </c>
      <c r="E61" s="3" t="s">
        <v>227</v>
      </c>
      <c r="F61" s="3" t="s">
        <v>183</v>
      </c>
      <c r="G61" s="4">
        <v>188</v>
      </c>
      <c r="H61" s="3"/>
      <c r="I61">
        <v>9.4499999999999993</v>
      </c>
      <c r="J61" s="16">
        <f t="shared" si="0"/>
        <v>21.855625</v>
      </c>
    </row>
    <row r="62" spans="1:10">
      <c r="A62" s="7" t="s">
        <v>226</v>
      </c>
      <c r="B62" s="3" t="s">
        <v>183</v>
      </c>
      <c r="C62" s="3" t="s">
        <v>228</v>
      </c>
      <c r="D62" s="3" t="s">
        <v>37</v>
      </c>
      <c r="E62" s="3" t="s">
        <v>227</v>
      </c>
      <c r="F62" s="3" t="s">
        <v>183</v>
      </c>
      <c r="G62" s="4">
        <v>186</v>
      </c>
      <c r="H62" s="3" t="s">
        <v>229</v>
      </c>
      <c r="I62">
        <v>10.75</v>
      </c>
      <c r="J62" s="16">
        <f t="shared" si="0"/>
        <v>23.821874999999999</v>
      </c>
    </row>
    <row r="63" spans="1:10">
      <c r="A63" s="7" t="s">
        <v>226</v>
      </c>
      <c r="B63" s="3" t="s">
        <v>35</v>
      </c>
      <c r="C63" s="3" t="s">
        <v>228</v>
      </c>
      <c r="D63" s="3" t="s">
        <v>41</v>
      </c>
      <c r="E63" s="3" t="s">
        <v>231</v>
      </c>
      <c r="F63" s="3" t="s">
        <v>64</v>
      </c>
      <c r="G63" s="4">
        <v>126</v>
      </c>
      <c r="H63" s="3" t="s">
        <v>232</v>
      </c>
      <c r="I63">
        <v>10.75</v>
      </c>
      <c r="J63" s="16">
        <f t="shared" si="0"/>
        <v>23.821874999999999</v>
      </c>
    </row>
    <row r="64" spans="1:10">
      <c r="A64" s="7" t="s">
        <v>226</v>
      </c>
      <c r="B64" s="3" t="s">
        <v>233</v>
      </c>
      <c r="C64" s="3" t="s">
        <v>228</v>
      </c>
      <c r="D64" s="3" t="s">
        <v>11</v>
      </c>
      <c r="E64" s="3" t="s">
        <v>234</v>
      </c>
      <c r="F64" s="3" t="s">
        <v>64</v>
      </c>
      <c r="G64" s="4">
        <v>122</v>
      </c>
      <c r="H64" s="3" t="s">
        <v>235</v>
      </c>
      <c r="I64">
        <v>10.75</v>
      </c>
      <c r="J64" s="16">
        <f t="shared" si="0"/>
        <v>23.821874999999999</v>
      </c>
    </row>
    <row r="65" spans="1:10">
      <c r="A65" s="7" t="s">
        <v>226</v>
      </c>
      <c r="B65" s="3" t="s">
        <v>236</v>
      </c>
      <c r="C65" s="3" t="s">
        <v>228</v>
      </c>
      <c r="D65" s="3" t="s">
        <v>11</v>
      </c>
      <c r="E65" s="3" t="s">
        <v>234</v>
      </c>
      <c r="F65" s="3" t="s">
        <v>64</v>
      </c>
      <c r="G65" s="4">
        <v>114</v>
      </c>
      <c r="H65" s="3" t="s">
        <v>237</v>
      </c>
      <c r="I65">
        <v>10.75</v>
      </c>
      <c r="J65" s="16">
        <f t="shared" si="0"/>
        <v>23.821874999999999</v>
      </c>
    </row>
    <row r="66" spans="1:10">
      <c r="A66" s="7" t="s">
        <v>226</v>
      </c>
      <c r="B66" s="3" t="s">
        <v>238</v>
      </c>
      <c r="C66" s="3" t="s">
        <v>228</v>
      </c>
      <c r="D66" s="3" t="s">
        <v>11</v>
      </c>
      <c r="E66" s="3" t="s">
        <v>234</v>
      </c>
      <c r="F66" s="3" t="s">
        <v>64</v>
      </c>
      <c r="G66" s="4">
        <v>124</v>
      </c>
      <c r="H66" s="3" t="s">
        <v>239</v>
      </c>
      <c r="I66">
        <v>10.75</v>
      </c>
      <c r="J66" s="16">
        <f t="shared" si="0"/>
        <v>23.821874999999999</v>
      </c>
    </row>
    <row r="67" spans="1:10">
      <c r="A67" s="7" t="s">
        <v>226</v>
      </c>
      <c r="B67" s="3" t="s">
        <v>240</v>
      </c>
      <c r="C67" s="3" t="s">
        <v>228</v>
      </c>
      <c r="D67" s="3" t="s">
        <v>11</v>
      </c>
      <c r="E67" s="3" t="s">
        <v>234</v>
      </c>
      <c r="F67" s="3" t="s">
        <v>64</v>
      </c>
      <c r="G67" s="4">
        <v>118</v>
      </c>
      <c r="H67" s="3" t="s">
        <v>241</v>
      </c>
      <c r="I67">
        <v>10.75</v>
      </c>
      <c r="J67" s="16">
        <f t="shared" ref="J67:J121" si="1">(I67+5)*1.25*1.21</f>
        <v>23.821874999999999</v>
      </c>
    </row>
    <row r="68" spans="1:10">
      <c r="A68" s="2" t="s">
        <v>8</v>
      </c>
      <c r="B68" s="3" t="s">
        <v>27</v>
      </c>
      <c r="C68" s="3" t="s">
        <v>28</v>
      </c>
      <c r="D68" s="3" t="s">
        <v>11</v>
      </c>
      <c r="E68" s="3" t="s">
        <v>29</v>
      </c>
      <c r="F68" s="3" t="s">
        <v>8</v>
      </c>
      <c r="G68" s="4">
        <v>76</v>
      </c>
      <c r="H68" s="3" t="s">
        <v>30</v>
      </c>
      <c r="I68">
        <v>7.55</v>
      </c>
      <c r="J68" s="16">
        <f t="shared" si="1"/>
        <v>18.981874999999999</v>
      </c>
    </row>
    <row r="69" spans="1:10">
      <c r="A69" s="2" t="s">
        <v>8</v>
      </c>
      <c r="B69" s="3" t="s">
        <v>95</v>
      </c>
      <c r="C69" s="3" t="s">
        <v>28</v>
      </c>
      <c r="D69" s="3" t="s">
        <v>11</v>
      </c>
      <c r="E69" s="3" t="s">
        <v>96</v>
      </c>
      <c r="F69" s="3" t="s">
        <v>8</v>
      </c>
      <c r="G69" s="4">
        <v>72</v>
      </c>
      <c r="H69" s="3" t="s">
        <v>97</v>
      </c>
      <c r="I69">
        <v>7.55</v>
      </c>
      <c r="J69" s="16">
        <f t="shared" si="1"/>
        <v>18.981874999999999</v>
      </c>
    </row>
    <row r="70" spans="1:10">
      <c r="A70" s="2" t="s">
        <v>8</v>
      </c>
      <c r="B70" s="3" t="s">
        <v>109</v>
      </c>
      <c r="C70" s="3" t="s">
        <v>28</v>
      </c>
      <c r="D70" s="3" t="s">
        <v>11</v>
      </c>
      <c r="E70" s="3" t="s">
        <v>96</v>
      </c>
      <c r="F70" s="3" t="s">
        <v>8</v>
      </c>
      <c r="G70" s="4">
        <v>74</v>
      </c>
      <c r="H70" s="3" t="s">
        <v>110</v>
      </c>
      <c r="I70">
        <v>7.55</v>
      </c>
      <c r="J70" s="16">
        <f t="shared" si="1"/>
        <v>18.981874999999999</v>
      </c>
    </row>
    <row r="71" spans="1:10">
      <c r="A71" s="5" t="s">
        <v>130</v>
      </c>
      <c r="B71" s="3" t="s">
        <v>138</v>
      </c>
      <c r="C71" s="3" t="s">
        <v>28</v>
      </c>
      <c r="D71" s="3" t="s">
        <v>11</v>
      </c>
      <c r="E71" s="3" t="s">
        <v>139</v>
      </c>
      <c r="F71" s="3" t="s">
        <v>133</v>
      </c>
      <c r="G71" s="4">
        <v>176</v>
      </c>
      <c r="H71" s="3" t="s">
        <v>140</v>
      </c>
      <c r="I71">
        <v>6.25</v>
      </c>
      <c r="J71" s="16">
        <f t="shared" si="1"/>
        <v>17.015625</v>
      </c>
    </row>
    <row r="72" spans="1:10">
      <c r="A72" s="5" t="s">
        <v>130</v>
      </c>
      <c r="B72" s="3" t="s">
        <v>155</v>
      </c>
      <c r="C72" s="3" t="s">
        <v>28</v>
      </c>
      <c r="D72" s="3" t="s">
        <v>11</v>
      </c>
      <c r="E72" s="3" t="s">
        <v>33</v>
      </c>
      <c r="F72" s="3" t="s">
        <v>133</v>
      </c>
      <c r="G72" s="4">
        <v>172</v>
      </c>
      <c r="H72" s="3" t="s">
        <v>156</v>
      </c>
      <c r="I72">
        <v>6.25</v>
      </c>
      <c r="J72" s="16">
        <f t="shared" si="1"/>
        <v>17.015625</v>
      </c>
    </row>
    <row r="73" spans="1:10">
      <c r="A73" s="5" t="s">
        <v>130</v>
      </c>
      <c r="B73" s="3" t="s">
        <v>157</v>
      </c>
      <c r="C73" s="3" t="s">
        <v>28</v>
      </c>
      <c r="D73" s="3" t="s">
        <v>11</v>
      </c>
      <c r="E73" s="3" t="s">
        <v>33</v>
      </c>
      <c r="F73" s="3" t="s">
        <v>133</v>
      </c>
      <c r="G73" s="4">
        <v>178</v>
      </c>
      <c r="H73" s="3" t="s">
        <v>158</v>
      </c>
      <c r="I73">
        <v>6.25</v>
      </c>
      <c r="J73" s="16">
        <f t="shared" si="1"/>
        <v>17.015625</v>
      </c>
    </row>
    <row r="74" spans="1:10">
      <c r="A74" s="5" t="s">
        <v>130</v>
      </c>
      <c r="B74" s="3" t="s">
        <v>164</v>
      </c>
      <c r="C74" s="3" t="s">
        <v>28</v>
      </c>
      <c r="D74" s="3" t="s">
        <v>11</v>
      </c>
      <c r="E74" s="3" t="s">
        <v>33</v>
      </c>
      <c r="F74" s="3" t="s">
        <v>133</v>
      </c>
      <c r="G74" s="4">
        <v>180</v>
      </c>
      <c r="H74" s="3" t="s">
        <v>165</v>
      </c>
      <c r="I74">
        <v>6.25</v>
      </c>
      <c r="J74" s="16">
        <f t="shared" si="1"/>
        <v>17.015625</v>
      </c>
    </row>
    <row r="75" spans="1:10">
      <c r="A75" s="5" t="s">
        <v>130</v>
      </c>
      <c r="B75" s="3" t="s">
        <v>170</v>
      </c>
      <c r="C75" s="3" t="s">
        <v>28</v>
      </c>
      <c r="D75" s="3" t="s">
        <v>11</v>
      </c>
      <c r="E75" s="3" t="s">
        <v>145</v>
      </c>
      <c r="F75" s="3" t="s">
        <v>133</v>
      </c>
      <c r="G75" s="4">
        <v>174</v>
      </c>
      <c r="H75" s="3" t="s">
        <v>171</v>
      </c>
      <c r="I75">
        <v>6.25</v>
      </c>
      <c r="J75" s="16">
        <f t="shared" si="1"/>
        <v>17.015625</v>
      </c>
    </row>
    <row r="76" spans="1:10">
      <c r="A76" s="5" t="s">
        <v>130</v>
      </c>
      <c r="B76" s="3" t="s">
        <v>176</v>
      </c>
      <c r="C76" s="3" t="s">
        <v>28</v>
      </c>
      <c r="D76" s="3" t="s">
        <v>11</v>
      </c>
      <c r="E76" s="3" t="s">
        <v>139</v>
      </c>
      <c r="F76" s="3" t="s">
        <v>133</v>
      </c>
      <c r="G76" s="4">
        <v>176</v>
      </c>
      <c r="H76" s="3" t="s">
        <v>177</v>
      </c>
      <c r="I76">
        <v>6.25</v>
      </c>
      <c r="J76" s="16">
        <f t="shared" si="1"/>
        <v>17.015625</v>
      </c>
    </row>
    <row r="77" spans="1:10">
      <c r="A77" s="7" t="s">
        <v>226</v>
      </c>
      <c r="B77" s="3" t="s">
        <v>183</v>
      </c>
      <c r="C77" s="3" t="s">
        <v>230</v>
      </c>
      <c r="D77" s="3" t="s">
        <v>37</v>
      </c>
      <c r="E77" s="3" t="s">
        <v>227</v>
      </c>
      <c r="F77" s="3" t="s">
        <v>183</v>
      </c>
      <c r="G77" s="4">
        <v>188</v>
      </c>
      <c r="H77" s="3"/>
      <c r="I77">
        <v>11.95</v>
      </c>
      <c r="J77" s="16">
        <f t="shared" si="1"/>
        <v>25.636875</v>
      </c>
    </row>
    <row r="78" spans="1:10">
      <c r="A78" s="5" t="s">
        <v>130</v>
      </c>
      <c r="B78" s="3" t="s">
        <v>131</v>
      </c>
      <c r="C78" s="3" t="s">
        <v>132</v>
      </c>
      <c r="D78" s="3" t="s">
        <v>11</v>
      </c>
      <c r="E78" s="3" t="s">
        <v>33</v>
      </c>
      <c r="F78" s="3" t="s">
        <v>133</v>
      </c>
      <c r="G78" s="4">
        <v>168</v>
      </c>
      <c r="H78" s="3" t="s">
        <v>134</v>
      </c>
      <c r="I78">
        <v>6.45</v>
      </c>
      <c r="J78" s="16">
        <f t="shared" si="1"/>
        <v>17.318124999999998</v>
      </c>
    </row>
    <row r="79" spans="1:10">
      <c r="A79" s="5" t="s">
        <v>130</v>
      </c>
      <c r="B79" s="3" t="s">
        <v>135</v>
      </c>
      <c r="C79" s="3" t="s">
        <v>132</v>
      </c>
      <c r="D79" s="3" t="s">
        <v>41</v>
      </c>
      <c r="E79" s="3" t="s">
        <v>105</v>
      </c>
      <c r="F79" s="3" t="s">
        <v>133</v>
      </c>
      <c r="G79" s="4">
        <v>170</v>
      </c>
      <c r="H79" s="3" t="s">
        <v>136</v>
      </c>
      <c r="I79">
        <v>6.45</v>
      </c>
      <c r="J79" s="16">
        <f t="shared" si="1"/>
        <v>17.318124999999998</v>
      </c>
    </row>
    <row r="80" spans="1:10">
      <c r="A80" s="5" t="s">
        <v>130</v>
      </c>
      <c r="B80" s="3" t="s">
        <v>53</v>
      </c>
      <c r="C80" s="3" t="s">
        <v>132</v>
      </c>
      <c r="D80" s="3" t="s">
        <v>41</v>
      </c>
      <c r="E80" s="3" t="s">
        <v>105</v>
      </c>
      <c r="F80" s="3" t="s">
        <v>133</v>
      </c>
      <c r="G80" s="4">
        <v>170</v>
      </c>
      <c r="H80" s="3" t="s">
        <v>137</v>
      </c>
      <c r="I80">
        <v>6.45</v>
      </c>
      <c r="J80" s="16">
        <f t="shared" si="1"/>
        <v>17.318124999999998</v>
      </c>
    </row>
    <row r="81" spans="1:10">
      <c r="A81" s="5" t="s">
        <v>130</v>
      </c>
      <c r="B81" s="3" t="s">
        <v>141</v>
      </c>
      <c r="C81" s="3" t="s">
        <v>132</v>
      </c>
      <c r="D81" s="3" t="s">
        <v>41</v>
      </c>
      <c r="E81" s="3" t="s">
        <v>105</v>
      </c>
      <c r="F81" s="3" t="s">
        <v>133</v>
      </c>
      <c r="G81" s="4">
        <v>170</v>
      </c>
      <c r="H81" s="3" t="s">
        <v>142</v>
      </c>
      <c r="I81">
        <v>6.45</v>
      </c>
      <c r="J81" s="16">
        <f t="shared" si="1"/>
        <v>17.318124999999998</v>
      </c>
    </row>
    <row r="82" spans="1:10">
      <c r="A82" s="5" t="s">
        <v>130</v>
      </c>
      <c r="B82" s="3" t="s">
        <v>153</v>
      </c>
      <c r="C82" s="3" t="s">
        <v>132</v>
      </c>
      <c r="D82" s="3" t="s">
        <v>11</v>
      </c>
      <c r="E82" s="3" t="s">
        <v>154</v>
      </c>
      <c r="F82" s="3" t="s">
        <v>133</v>
      </c>
      <c r="G82" s="4">
        <v>171</v>
      </c>
      <c r="H82" s="3" t="s">
        <v>134</v>
      </c>
      <c r="I82">
        <v>6.45</v>
      </c>
      <c r="J82" s="16">
        <f t="shared" si="1"/>
        <v>17.318124999999998</v>
      </c>
    </row>
    <row r="83" spans="1:10">
      <c r="A83" s="5" t="s">
        <v>130</v>
      </c>
      <c r="B83" s="3" t="s">
        <v>159</v>
      </c>
      <c r="C83" s="3" t="s">
        <v>132</v>
      </c>
      <c r="D83" s="3" t="s">
        <v>41</v>
      </c>
      <c r="E83" s="3" t="s">
        <v>105</v>
      </c>
      <c r="F83" s="3" t="s">
        <v>133</v>
      </c>
      <c r="G83" s="4">
        <v>170</v>
      </c>
      <c r="H83" s="3" t="s">
        <v>160</v>
      </c>
      <c r="I83">
        <v>6.45</v>
      </c>
      <c r="J83" s="16">
        <f t="shared" si="1"/>
        <v>17.318124999999998</v>
      </c>
    </row>
    <row r="84" spans="1:10">
      <c r="A84" s="5" t="s">
        <v>130</v>
      </c>
      <c r="B84" s="3" t="s">
        <v>161</v>
      </c>
      <c r="C84" s="3" t="s">
        <v>132</v>
      </c>
      <c r="D84" s="3" t="s">
        <v>11</v>
      </c>
      <c r="E84" s="3" t="s">
        <v>154</v>
      </c>
      <c r="F84" s="3" t="s">
        <v>133</v>
      </c>
      <c r="G84" s="4">
        <v>171</v>
      </c>
      <c r="H84" s="3" t="s">
        <v>162</v>
      </c>
      <c r="I84">
        <v>6.45</v>
      </c>
      <c r="J84" s="16">
        <f t="shared" si="1"/>
        <v>17.318124999999998</v>
      </c>
    </row>
    <row r="85" spans="1:10">
      <c r="A85" s="5" t="s">
        <v>130</v>
      </c>
      <c r="B85" s="3" t="s">
        <v>163</v>
      </c>
      <c r="C85" s="3" t="s">
        <v>132</v>
      </c>
      <c r="D85" s="3" t="s">
        <v>11</v>
      </c>
      <c r="E85" s="3" t="s">
        <v>33</v>
      </c>
      <c r="F85" s="3" t="s">
        <v>133</v>
      </c>
      <c r="G85" s="4">
        <v>168</v>
      </c>
      <c r="H85" s="3"/>
      <c r="I85">
        <v>6.45</v>
      </c>
      <c r="J85" s="16">
        <f t="shared" si="1"/>
        <v>17.318124999999998</v>
      </c>
    </row>
    <row r="86" spans="1:10">
      <c r="A86" s="5" t="s">
        <v>130</v>
      </c>
      <c r="B86" s="3" t="s">
        <v>166</v>
      </c>
      <c r="C86" s="3" t="s">
        <v>132</v>
      </c>
      <c r="D86" s="3" t="s">
        <v>11</v>
      </c>
      <c r="E86" s="3" t="s">
        <v>154</v>
      </c>
      <c r="F86" s="3" t="s">
        <v>133</v>
      </c>
      <c r="G86" s="4">
        <v>171</v>
      </c>
      <c r="H86" s="3" t="s">
        <v>167</v>
      </c>
      <c r="I86">
        <v>6.45</v>
      </c>
      <c r="J86" s="16">
        <f t="shared" si="1"/>
        <v>17.318124999999998</v>
      </c>
    </row>
    <row r="87" spans="1:10">
      <c r="A87" s="5" t="s">
        <v>130</v>
      </c>
      <c r="B87" s="3" t="s">
        <v>172</v>
      </c>
      <c r="C87" s="3" t="s">
        <v>132</v>
      </c>
      <c r="D87" s="3" t="s">
        <v>11</v>
      </c>
      <c r="E87" s="3" t="s">
        <v>33</v>
      </c>
      <c r="F87" s="3" t="s">
        <v>133</v>
      </c>
      <c r="G87" s="4">
        <v>171</v>
      </c>
      <c r="H87" s="3" t="s">
        <v>173</v>
      </c>
      <c r="I87">
        <v>6.45</v>
      </c>
      <c r="J87" s="16">
        <f t="shared" si="1"/>
        <v>17.318124999999998</v>
      </c>
    </row>
    <row r="88" spans="1:10">
      <c r="A88" s="5" t="s">
        <v>130</v>
      </c>
      <c r="B88" s="3" t="s">
        <v>174</v>
      </c>
      <c r="C88" s="3" t="s">
        <v>132</v>
      </c>
      <c r="D88" s="3" t="s">
        <v>11</v>
      </c>
      <c r="E88" s="3" t="s">
        <v>33</v>
      </c>
      <c r="F88" s="3" t="s">
        <v>133</v>
      </c>
      <c r="G88" s="4">
        <v>166</v>
      </c>
      <c r="H88" s="3" t="s">
        <v>175</v>
      </c>
      <c r="I88">
        <v>6.45</v>
      </c>
      <c r="J88" s="16">
        <f t="shared" si="1"/>
        <v>17.318124999999998</v>
      </c>
    </row>
    <row r="89" spans="1:10">
      <c r="A89" s="5" t="s">
        <v>130</v>
      </c>
      <c r="B89" s="3" t="s">
        <v>178</v>
      </c>
      <c r="C89" s="3" t="s">
        <v>132</v>
      </c>
      <c r="D89" s="3" t="s">
        <v>41</v>
      </c>
      <c r="E89" s="3" t="s">
        <v>105</v>
      </c>
      <c r="F89" s="3" t="s">
        <v>133</v>
      </c>
      <c r="G89" s="4">
        <v>170</v>
      </c>
      <c r="H89" s="3" t="s">
        <v>179</v>
      </c>
      <c r="I89">
        <v>6.45</v>
      </c>
      <c r="J89" s="16">
        <f t="shared" si="1"/>
        <v>17.318124999999998</v>
      </c>
    </row>
    <row r="90" spans="1:10">
      <c r="A90" s="5" t="s">
        <v>130</v>
      </c>
      <c r="B90" s="3" t="s">
        <v>180</v>
      </c>
      <c r="C90" s="3" t="s">
        <v>132</v>
      </c>
      <c r="D90" s="3" t="s">
        <v>11</v>
      </c>
      <c r="E90" s="3" t="s">
        <v>33</v>
      </c>
      <c r="F90" s="3" t="s">
        <v>133</v>
      </c>
      <c r="G90" s="4">
        <v>166</v>
      </c>
      <c r="H90" s="3" t="s">
        <v>181</v>
      </c>
      <c r="I90">
        <v>6.45</v>
      </c>
      <c r="J90" s="16">
        <f t="shared" si="1"/>
        <v>17.318124999999998</v>
      </c>
    </row>
    <row r="91" spans="1:10">
      <c r="A91" s="2" t="s">
        <v>8</v>
      </c>
      <c r="B91" s="3" t="s">
        <v>35</v>
      </c>
      <c r="C91" s="3" t="s">
        <v>36</v>
      </c>
      <c r="D91" s="3" t="s">
        <v>37</v>
      </c>
      <c r="E91" s="3" t="s">
        <v>38</v>
      </c>
      <c r="F91" s="3" t="s">
        <v>8</v>
      </c>
      <c r="G91" s="4">
        <v>28</v>
      </c>
      <c r="H91" s="3" t="s">
        <v>39</v>
      </c>
      <c r="I91">
        <v>11.95</v>
      </c>
      <c r="J91" s="16">
        <f t="shared" si="1"/>
        <v>25.636875</v>
      </c>
    </row>
    <row r="92" spans="1:10">
      <c r="A92" s="2" t="s">
        <v>8</v>
      </c>
      <c r="B92" s="3" t="s">
        <v>40</v>
      </c>
      <c r="C92" s="3" t="s">
        <v>36</v>
      </c>
      <c r="D92" s="3" t="s">
        <v>41</v>
      </c>
      <c r="E92" s="3" t="s">
        <v>42</v>
      </c>
      <c r="F92" s="3" t="s">
        <v>8</v>
      </c>
      <c r="G92" s="4">
        <v>22</v>
      </c>
      <c r="H92" s="3"/>
      <c r="I92">
        <v>11.95</v>
      </c>
      <c r="J92" s="16">
        <f t="shared" si="1"/>
        <v>25.636875</v>
      </c>
    </row>
    <row r="93" spans="1:10">
      <c r="A93" s="2" t="s">
        <v>8</v>
      </c>
      <c r="B93" s="3" t="s">
        <v>43</v>
      </c>
      <c r="C93" s="3" t="s">
        <v>36</v>
      </c>
      <c r="D93" s="3" t="s">
        <v>41</v>
      </c>
      <c r="E93" s="3" t="s">
        <v>42</v>
      </c>
      <c r="F93" s="3" t="s">
        <v>8</v>
      </c>
      <c r="G93" s="4">
        <v>16</v>
      </c>
      <c r="H93" s="3"/>
      <c r="I93">
        <v>11.95</v>
      </c>
      <c r="J93" s="16">
        <f t="shared" si="1"/>
        <v>25.636875</v>
      </c>
    </row>
    <row r="94" spans="1:10">
      <c r="A94" s="2" t="s">
        <v>8</v>
      </c>
      <c r="B94" s="3" t="s">
        <v>52</v>
      </c>
      <c r="C94" s="3" t="s">
        <v>36</v>
      </c>
      <c r="D94" s="3" t="s">
        <v>41</v>
      </c>
      <c r="E94" s="3" t="s">
        <v>42</v>
      </c>
      <c r="F94" s="3" t="s">
        <v>8</v>
      </c>
      <c r="G94" s="4">
        <v>20</v>
      </c>
      <c r="H94" s="3"/>
      <c r="I94">
        <v>11.95</v>
      </c>
      <c r="J94" s="16">
        <f t="shared" si="1"/>
        <v>25.636875</v>
      </c>
    </row>
    <row r="95" spans="1:10">
      <c r="A95" s="2" t="s">
        <v>8</v>
      </c>
      <c r="B95" s="3" t="s">
        <v>53</v>
      </c>
      <c r="C95" s="3" t="s">
        <v>36</v>
      </c>
      <c r="D95" s="3" t="s">
        <v>41</v>
      </c>
      <c r="E95" s="3" t="s">
        <v>42</v>
      </c>
      <c r="F95" s="3" t="s">
        <v>8</v>
      </c>
      <c r="G95" s="4">
        <v>18</v>
      </c>
      <c r="H95" s="3"/>
      <c r="I95">
        <v>11.95</v>
      </c>
      <c r="J95" s="16">
        <f t="shared" si="1"/>
        <v>25.636875</v>
      </c>
    </row>
    <row r="96" spans="1:10">
      <c r="A96" s="2" t="s">
        <v>8</v>
      </c>
      <c r="B96" s="3" t="s">
        <v>54</v>
      </c>
      <c r="C96" s="3" t="s">
        <v>36</v>
      </c>
      <c r="D96" s="3" t="s">
        <v>23</v>
      </c>
      <c r="E96" s="3" t="s">
        <v>55</v>
      </c>
      <c r="F96" s="3" t="s">
        <v>8</v>
      </c>
      <c r="G96" s="4">
        <v>32</v>
      </c>
      <c r="H96" s="3"/>
      <c r="I96">
        <v>11.95</v>
      </c>
      <c r="J96" s="16">
        <f t="shared" si="1"/>
        <v>25.636875</v>
      </c>
    </row>
    <row r="97" spans="1:10">
      <c r="A97" s="2" t="s">
        <v>8</v>
      </c>
      <c r="B97" s="3" t="s">
        <v>78</v>
      </c>
      <c r="C97" s="3" t="s">
        <v>36</v>
      </c>
      <c r="D97" s="3" t="s">
        <v>23</v>
      </c>
      <c r="E97" s="3" t="s">
        <v>79</v>
      </c>
      <c r="F97" s="3" t="s">
        <v>8</v>
      </c>
      <c r="G97" s="4">
        <v>40</v>
      </c>
      <c r="H97" s="3" t="s">
        <v>80</v>
      </c>
      <c r="I97">
        <v>11.95</v>
      </c>
      <c r="J97" s="16">
        <f t="shared" si="1"/>
        <v>25.636875</v>
      </c>
    </row>
    <row r="98" spans="1:10">
      <c r="A98" s="2" t="s">
        <v>8</v>
      </c>
      <c r="B98" s="3" t="s">
        <v>98</v>
      </c>
      <c r="C98" s="3" t="s">
        <v>36</v>
      </c>
      <c r="D98" s="3" t="s">
        <v>11</v>
      </c>
      <c r="E98" s="3" t="s">
        <v>99</v>
      </c>
      <c r="F98" s="3" t="s">
        <v>8</v>
      </c>
      <c r="G98" s="4">
        <v>34</v>
      </c>
      <c r="H98" s="3" t="s">
        <v>100</v>
      </c>
      <c r="I98">
        <v>11.95</v>
      </c>
      <c r="J98" s="16">
        <f t="shared" si="1"/>
        <v>25.636875</v>
      </c>
    </row>
    <row r="99" spans="1:10">
      <c r="A99" s="2" t="s">
        <v>8</v>
      </c>
      <c r="B99" s="3" t="s">
        <v>107</v>
      </c>
      <c r="C99" s="3" t="s">
        <v>36</v>
      </c>
      <c r="D99" s="3" t="s">
        <v>41</v>
      </c>
      <c r="E99" s="3" t="s">
        <v>42</v>
      </c>
      <c r="F99" s="3" t="s">
        <v>8</v>
      </c>
      <c r="G99" s="4">
        <v>14</v>
      </c>
      <c r="H99" s="3"/>
      <c r="I99">
        <v>11.95</v>
      </c>
      <c r="J99" s="16">
        <f t="shared" si="1"/>
        <v>25.636875</v>
      </c>
    </row>
    <row r="100" spans="1:10">
      <c r="A100" s="2" t="s">
        <v>8</v>
      </c>
      <c r="B100" s="3" t="s">
        <v>115</v>
      </c>
      <c r="C100" s="3" t="s">
        <v>36</v>
      </c>
      <c r="D100" s="3" t="s">
        <v>23</v>
      </c>
      <c r="E100" s="3" t="s">
        <v>38</v>
      </c>
      <c r="F100" s="3" t="s">
        <v>8</v>
      </c>
      <c r="G100" s="4">
        <v>36</v>
      </c>
      <c r="H100" s="3" t="s">
        <v>116</v>
      </c>
      <c r="I100">
        <v>13.65</v>
      </c>
      <c r="J100" s="16">
        <f t="shared" si="1"/>
        <v>28.208124999999999</v>
      </c>
    </row>
    <row r="101" spans="1:10">
      <c r="A101" s="2" t="s">
        <v>8</v>
      </c>
      <c r="B101" s="3" t="s">
        <v>121</v>
      </c>
      <c r="C101" s="3" t="s">
        <v>36</v>
      </c>
      <c r="D101" s="3" t="s">
        <v>23</v>
      </c>
      <c r="E101" s="3" t="s">
        <v>38</v>
      </c>
      <c r="F101" s="3" t="s">
        <v>8</v>
      </c>
      <c r="G101" s="4">
        <v>26</v>
      </c>
      <c r="H101" s="3" t="s">
        <v>122</v>
      </c>
      <c r="I101">
        <v>11.95</v>
      </c>
      <c r="J101" s="16">
        <f t="shared" si="1"/>
        <v>25.636875</v>
      </c>
    </row>
    <row r="102" spans="1:10">
      <c r="A102" s="2" t="s">
        <v>8</v>
      </c>
      <c r="B102" s="3" t="s">
        <v>31</v>
      </c>
      <c r="C102" s="3" t="s">
        <v>32</v>
      </c>
      <c r="D102" s="3" t="s">
        <v>11</v>
      </c>
      <c r="E102" s="3" t="s">
        <v>33</v>
      </c>
      <c r="F102" s="3" t="s">
        <v>8</v>
      </c>
      <c r="G102" s="4">
        <v>46</v>
      </c>
      <c r="H102" s="3" t="s">
        <v>34</v>
      </c>
      <c r="I102">
        <v>8.9499999999999993</v>
      </c>
      <c r="J102" s="16">
        <f t="shared" si="1"/>
        <v>21.099374999999998</v>
      </c>
    </row>
    <row r="103" spans="1:10">
      <c r="A103" s="2" t="s">
        <v>8</v>
      </c>
      <c r="B103" s="3" t="s">
        <v>35</v>
      </c>
      <c r="C103" s="3" t="s">
        <v>32</v>
      </c>
      <c r="D103" s="3" t="s">
        <v>37</v>
      </c>
      <c r="E103" s="3" t="s">
        <v>38</v>
      </c>
      <c r="F103" s="3" t="s">
        <v>8</v>
      </c>
      <c r="G103" s="4">
        <v>28</v>
      </c>
      <c r="H103" s="3" t="s">
        <v>39</v>
      </c>
      <c r="I103">
        <v>12.95</v>
      </c>
      <c r="J103" s="16">
        <f t="shared" si="1"/>
        <v>27.149374999999999</v>
      </c>
    </row>
    <row r="104" spans="1:10">
      <c r="A104" s="2" t="s">
        <v>8</v>
      </c>
      <c r="B104" s="3" t="s">
        <v>45</v>
      </c>
      <c r="C104" s="3" t="s">
        <v>32</v>
      </c>
      <c r="D104" s="3" t="s">
        <v>41</v>
      </c>
      <c r="E104" s="3" t="s">
        <v>46</v>
      </c>
      <c r="F104" s="3" t="s">
        <v>8</v>
      </c>
      <c r="G104" s="4">
        <v>42</v>
      </c>
      <c r="H104" s="3" t="s">
        <v>47</v>
      </c>
      <c r="I104">
        <v>12.95</v>
      </c>
      <c r="J104" s="16">
        <f t="shared" si="1"/>
        <v>27.149374999999999</v>
      </c>
    </row>
    <row r="105" spans="1:10">
      <c r="A105" s="2" t="s">
        <v>8</v>
      </c>
      <c r="B105" s="3" t="s">
        <v>48</v>
      </c>
      <c r="C105" s="3" t="s">
        <v>32</v>
      </c>
      <c r="D105" s="3" t="s">
        <v>23</v>
      </c>
      <c r="E105" s="3" t="s">
        <v>49</v>
      </c>
      <c r="F105" s="3" t="s">
        <v>50</v>
      </c>
      <c r="G105" s="4">
        <v>196</v>
      </c>
      <c r="H105" s="3" t="s">
        <v>51</v>
      </c>
      <c r="I105">
        <v>18.149999999999999</v>
      </c>
      <c r="J105" s="16">
        <f t="shared" si="1"/>
        <v>35.014375000000001</v>
      </c>
    </row>
    <row r="106" spans="1:10">
      <c r="A106" s="2" t="s">
        <v>8</v>
      </c>
      <c r="B106" s="3" t="s">
        <v>62</v>
      </c>
      <c r="C106" s="3" t="s">
        <v>32</v>
      </c>
      <c r="D106" s="3" t="s">
        <v>11</v>
      </c>
      <c r="E106" s="3" t="s">
        <v>63</v>
      </c>
      <c r="F106" s="3" t="s">
        <v>64</v>
      </c>
      <c r="G106" s="4">
        <v>138</v>
      </c>
      <c r="H106" s="3" t="s">
        <v>65</v>
      </c>
      <c r="I106">
        <v>8.9499999999999993</v>
      </c>
      <c r="J106" s="16">
        <f t="shared" si="1"/>
        <v>21.099374999999998</v>
      </c>
    </row>
    <row r="107" spans="1:10">
      <c r="A107" s="2" t="s">
        <v>8</v>
      </c>
      <c r="B107" s="3" t="s">
        <v>66</v>
      </c>
      <c r="C107" s="3" t="s">
        <v>32</v>
      </c>
      <c r="D107" s="3" t="s">
        <v>23</v>
      </c>
      <c r="E107" s="3" t="s">
        <v>67</v>
      </c>
      <c r="F107" s="3" t="s">
        <v>8</v>
      </c>
      <c r="G107" s="4">
        <v>60</v>
      </c>
      <c r="H107" s="3" t="s">
        <v>68</v>
      </c>
      <c r="I107">
        <v>8.9499999999999993</v>
      </c>
      <c r="J107" s="16">
        <f t="shared" si="1"/>
        <v>21.099374999999998</v>
      </c>
    </row>
    <row r="108" spans="1:10">
      <c r="A108" s="2" t="s">
        <v>8</v>
      </c>
      <c r="B108" s="3" t="s">
        <v>72</v>
      </c>
      <c r="C108" s="3" t="s">
        <v>32</v>
      </c>
      <c r="D108" s="3" t="s">
        <v>11</v>
      </c>
      <c r="E108" s="3" t="s">
        <v>73</v>
      </c>
      <c r="F108" s="3" t="s">
        <v>64</v>
      </c>
      <c r="G108" s="4">
        <v>142</v>
      </c>
      <c r="H108" s="3"/>
      <c r="I108">
        <v>8.9499999999999993</v>
      </c>
      <c r="J108" s="16">
        <f t="shared" si="1"/>
        <v>21.099374999999998</v>
      </c>
    </row>
    <row r="109" spans="1:10">
      <c r="A109" s="2" t="s">
        <v>8</v>
      </c>
      <c r="B109" s="3" t="s">
        <v>74</v>
      </c>
      <c r="C109" s="3" t="s">
        <v>32</v>
      </c>
      <c r="D109" s="3" t="s">
        <v>41</v>
      </c>
      <c r="E109" s="3" t="s">
        <v>75</v>
      </c>
      <c r="F109" s="3" t="s">
        <v>64</v>
      </c>
      <c r="G109" s="4">
        <v>148</v>
      </c>
      <c r="H109" s="3"/>
      <c r="I109">
        <v>8.9499999999999993</v>
      </c>
      <c r="J109" s="16">
        <f t="shared" si="1"/>
        <v>21.099374999999998</v>
      </c>
    </row>
    <row r="110" spans="1:10">
      <c r="A110" s="2" t="s">
        <v>8</v>
      </c>
      <c r="B110" s="3" t="s">
        <v>78</v>
      </c>
      <c r="C110" s="3" t="s">
        <v>32</v>
      </c>
      <c r="D110" s="3" t="s">
        <v>23</v>
      </c>
      <c r="E110" s="3" t="s">
        <v>67</v>
      </c>
      <c r="F110" s="3" t="s">
        <v>8</v>
      </c>
      <c r="G110" s="4">
        <v>40</v>
      </c>
      <c r="H110" s="3" t="s">
        <v>81</v>
      </c>
      <c r="I110">
        <v>8.9499999999999993</v>
      </c>
      <c r="J110" s="16">
        <f t="shared" si="1"/>
        <v>21.099374999999998</v>
      </c>
    </row>
    <row r="111" spans="1:10">
      <c r="A111" s="2" t="s">
        <v>8</v>
      </c>
      <c r="B111" s="3" t="s">
        <v>82</v>
      </c>
      <c r="C111" s="3" t="s">
        <v>32</v>
      </c>
      <c r="D111" s="3" t="s">
        <v>41</v>
      </c>
      <c r="E111" s="3" t="s">
        <v>75</v>
      </c>
      <c r="F111" s="3" t="s">
        <v>64</v>
      </c>
      <c r="G111" s="4">
        <v>144</v>
      </c>
      <c r="H111" s="3"/>
      <c r="I111">
        <v>8.9499999999999993</v>
      </c>
      <c r="J111" s="16">
        <f t="shared" si="1"/>
        <v>21.099374999999998</v>
      </c>
    </row>
    <row r="112" spans="1:10">
      <c r="A112" s="2" t="s">
        <v>8</v>
      </c>
      <c r="B112" s="3" t="s">
        <v>90</v>
      </c>
      <c r="C112" s="3" t="s">
        <v>32</v>
      </c>
      <c r="D112" s="3" t="s">
        <v>11</v>
      </c>
      <c r="E112" s="3" t="s">
        <v>73</v>
      </c>
      <c r="F112" s="3" t="s">
        <v>64</v>
      </c>
      <c r="G112" s="4">
        <v>146</v>
      </c>
      <c r="H112" s="3"/>
      <c r="I112">
        <v>8.9499999999999993</v>
      </c>
      <c r="J112" s="16">
        <f t="shared" si="1"/>
        <v>21.099374999999998</v>
      </c>
    </row>
    <row r="113" spans="1:10">
      <c r="A113" s="2" t="s">
        <v>8</v>
      </c>
      <c r="B113" s="3" t="s">
        <v>91</v>
      </c>
      <c r="C113" s="3" t="s">
        <v>32</v>
      </c>
      <c r="D113" s="3" t="s">
        <v>23</v>
      </c>
      <c r="E113" s="3" t="s">
        <v>92</v>
      </c>
      <c r="F113" s="3" t="s">
        <v>50</v>
      </c>
      <c r="G113" s="4">
        <v>192</v>
      </c>
      <c r="H113" s="3"/>
      <c r="I113">
        <v>18.149999999999999</v>
      </c>
      <c r="J113" s="16">
        <f t="shared" si="1"/>
        <v>35.014375000000001</v>
      </c>
    </row>
    <row r="114" spans="1:10">
      <c r="A114" s="2" t="s">
        <v>8</v>
      </c>
      <c r="B114" s="3" t="s">
        <v>98</v>
      </c>
      <c r="C114" s="3" t="s">
        <v>32</v>
      </c>
      <c r="D114" s="3" t="s">
        <v>11</v>
      </c>
      <c r="E114" s="3" t="s">
        <v>33</v>
      </c>
      <c r="F114" s="3" t="s">
        <v>8</v>
      </c>
      <c r="G114" s="4">
        <v>34</v>
      </c>
      <c r="H114" s="3"/>
      <c r="I114">
        <v>8.9499999999999993</v>
      </c>
      <c r="J114" s="16">
        <f t="shared" si="1"/>
        <v>21.099374999999998</v>
      </c>
    </row>
    <row r="115" spans="1:10">
      <c r="A115" s="2" t="s">
        <v>8</v>
      </c>
      <c r="B115" s="3" t="s">
        <v>104</v>
      </c>
      <c r="C115" s="3" t="s">
        <v>32</v>
      </c>
      <c r="D115" s="3" t="s">
        <v>41</v>
      </c>
      <c r="E115" s="3" t="s">
        <v>105</v>
      </c>
      <c r="F115" s="3" t="s">
        <v>8</v>
      </c>
      <c r="G115" s="4">
        <v>50</v>
      </c>
      <c r="H115" s="3" t="s">
        <v>106</v>
      </c>
      <c r="I115">
        <v>8.9499999999999993</v>
      </c>
      <c r="J115" s="16">
        <f t="shared" si="1"/>
        <v>21.099374999999998</v>
      </c>
    </row>
    <row r="116" spans="1:10">
      <c r="A116" s="2" t="s">
        <v>8</v>
      </c>
      <c r="B116" s="3" t="s">
        <v>119</v>
      </c>
      <c r="C116" s="3" t="s">
        <v>32</v>
      </c>
      <c r="D116" s="3" t="s">
        <v>23</v>
      </c>
      <c r="E116" s="3" t="s">
        <v>92</v>
      </c>
      <c r="F116" s="3" t="s">
        <v>50</v>
      </c>
      <c r="G116" s="4">
        <v>194</v>
      </c>
      <c r="H116" s="3"/>
      <c r="I116">
        <v>18.149999999999999</v>
      </c>
      <c r="J116" s="16">
        <f t="shared" si="1"/>
        <v>35.014375000000001</v>
      </c>
    </row>
    <row r="117" spans="1:10">
      <c r="A117" s="2" t="s">
        <v>8</v>
      </c>
      <c r="B117" s="3" t="s">
        <v>127</v>
      </c>
      <c r="C117" s="3" t="s">
        <v>32</v>
      </c>
      <c r="D117" s="3" t="s">
        <v>23</v>
      </c>
      <c r="E117" s="3" t="s">
        <v>46</v>
      </c>
      <c r="F117" s="3" t="s">
        <v>8</v>
      </c>
      <c r="G117" s="4">
        <v>42</v>
      </c>
      <c r="H117" s="3" t="s">
        <v>128</v>
      </c>
      <c r="I117">
        <v>8.9499999999999993</v>
      </c>
      <c r="J117" s="16">
        <f t="shared" si="1"/>
        <v>21.099374999999998</v>
      </c>
    </row>
    <row r="118" spans="1:10">
      <c r="A118" s="2" t="s">
        <v>8</v>
      </c>
      <c r="B118" s="3" t="s">
        <v>74</v>
      </c>
      <c r="C118" s="3" t="s">
        <v>76</v>
      </c>
      <c r="D118" s="3" t="s">
        <v>41</v>
      </c>
      <c r="E118" s="3" t="s">
        <v>77</v>
      </c>
      <c r="F118" s="3" t="s">
        <v>64</v>
      </c>
      <c r="G118" s="4">
        <v>148</v>
      </c>
      <c r="H118" s="3"/>
      <c r="I118">
        <v>11.65</v>
      </c>
      <c r="J118" s="16">
        <f t="shared" si="1"/>
        <v>25.183125</v>
      </c>
    </row>
    <row r="119" spans="1:10">
      <c r="A119" s="2" t="s">
        <v>8</v>
      </c>
      <c r="B119" s="3" t="s">
        <v>91</v>
      </c>
      <c r="C119" s="3" t="s">
        <v>93</v>
      </c>
      <c r="D119" s="3" t="s">
        <v>23</v>
      </c>
      <c r="E119" s="3" t="s">
        <v>92</v>
      </c>
      <c r="F119" s="3" t="s">
        <v>50</v>
      </c>
      <c r="G119" s="4">
        <v>192</v>
      </c>
      <c r="H119" s="3" t="s">
        <v>94</v>
      </c>
      <c r="I119" s="17" t="s">
        <v>245</v>
      </c>
      <c r="J119" s="16"/>
    </row>
    <row r="120" spans="1:10">
      <c r="A120" s="2" t="s">
        <v>8</v>
      </c>
      <c r="B120" s="3" t="s">
        <v>119</v>
      </c>
      <c r="C120" s="3" t="s">
        <v>93</v>
      </c>
      <c r="D120" s="3" t="s">
        <v>23</v>
      </c>
      <c r="E120" s="3" t="s">
        <v>92</v>
      </c>
      <c r="F120" s="3" t="s">
        <v>50</v>
      </c>
      <c r="G120" s="4">
        <v>194</v>
      </c>
      <c r="H120" s="3" t="s">
        <v>120</v>
      </c>
      <c r="I120" s="17" t="s">
        <v>245</v>
      </c>
      <c r="J120" s="16"/>
    </row>
    <row r="121" spans="1:10">
      <c r="A121" s="2" t="s">
        <v>8</v>
      </c>
      <c r="B121" s="3" t="s">
        <v>86</v>
      </c>
      <c r="C121" s="3" t="s">
        <v>87</v>
      </c>
      <c r="D121" s="3" t="s">
        <v>23</v>
      </c>
      <c r="E121" s="3" t="s">
        <v>55</v>
      </c>
      <c r="F121" s="3" t="s">
        <v>8</v>
      </c>
      <c r="G121" s="4">
        <v>24</v>
      </c>
      <c r="H121" s="3" t="s">
        <v>88</v>
      </c>
      <c r="I121">
        <v>12.85</v>
      </c>
      <c r="J121" s="16">
        <f t="shared" si="1"/>
        <v>26.998124999999998</v>
      </c>
    </row>
  </sheetData>
  <autoFilter ref="A1:H121"/>
  <sortState ref="A2:J121">
    <sortCondition ref="C2:C12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por series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2026-07-07T15:18:47Z</dcterms:created>
  <dcterms:modified xsi:type="dcterms:W3CDTF">2026-07-07T18:52:44Z</dcterms:modified>
</cp:coreProperties>
</file>